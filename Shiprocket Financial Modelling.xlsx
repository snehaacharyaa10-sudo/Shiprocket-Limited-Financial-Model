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4.xml" ContentType="application/vnd.ms-excel.controlproperties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48cdda2453c2b5/Documents/Desktop/Valuation/"/>
    </mc:Choice>
  </mc:AlternateContent>
  <xr:revisionPtr revIDLastSave="3293" documentId="8_{258547B6-1EE9-4AD3-A00E-A690F09AEA7A}" xr6:coauthVersionLast="47" xr6:coauthVersionMax="47" xr10:uidLastSave="{1792B03F-2E00-4410-962A-E88578C3340C}"/>
  <bookViews>
    <workbookView xWindow="-108" yWindow="-108" windowWidth="23256" windowHeight="12456" xr2:uid="{BC12EE8F-537C-47B6-9CE4-AB891367FC3A}"/>
  </bookViews>
  <sheets>
    <sheet name="Cover" sheetId="9" r:id="rId1"/>
    <sheet name="Control Sheet" sheetId="1" r:id="rId2"/>
    <sheet name="Schedule Sheet" sheetId="2" r:id="rId3"/>
    <sheet name="3 Statement Model" sheetId="3" r:id="rId4"/>
    <sheet name="Ratio Analysis" sheetId="4" r:id="rId5"/>
    <sheet name="Balance Sheet" sheetId="5" r:id="rId6"/>
    <sheet name="Income Statement" sheetId="6" r:id="rId7"/>
    <sheet name="Cash Flow Statement" sheetId="7" r:id="rId8"/>
    <sheet name="Assumption" sheetId="8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" i="8" l="1"/>
  <c r="B67" i="8"/>
  <c r="B65" i="8"/>
  <c r="B66" i="8" s="1"/>
  <c r="B64" i="8"/>
  <c r="M82" i="1"/>
  <c r="L82" i="1"/>
  <c r="K82" i="1"/>
  <c r="J82" i="1"/>
  <c r="I82" i="1"/>
  <c r="H109" i="2" s="1"/>
  <c r="B82" i="1"/>
  <c r="F165" i="2"/>
  <c r="F164" i="2"/>
  <c r="F163" i="2"/>
  <c r="F162" i="2"/>
  <c r="E165" i="2"/>
  <c r="E164" i="2"/>
  <c r="E163" i="2"/>
  <c r="E162" i="2"/>
  <c r="D165" i="2"/>
  <c r="D164" i="2"/>
  <c r="D163" i="2"/>
  <c r="D162" i="2"/>
  <c r="F166" i="2" l="1"/>
  <c r="K17" i="8" l="1"/>
  <c r="L24" i="4" l="1"/>
  <c r="K24" i="4"/>
  <c r="J24" i="4"/>
  <c r="I24" i="4"/>
  <c r="H24" i="4"/>
  <c r="L23" i="4"/>
  <c r="K23" i="4"/>
  <c r="J23" i="4"/>
  <c r="I23" i="4"/>
  <c r="H23" i="4"/>
  <c r="L22" i="4"/>
  <c r="K22" i="4"/>
  <c r="J22" i="4"/>
  <c r="I22" i="4"/>
  <c r="H22" i="4"/>
  <c r="H184" i="3"/>
  <c r="I184" i="3" s="1"/>
  <c r="J184" i="3" s="1"/>
  <c r="K184" i="3" s="1"/>
  <c r="F194" i="2"/>
  <c r="E194" i="2"/>
  <c r="D194" i="2"/>
  <c r="F190" i="2"/>
  <c r="E190" i="2"/>
  <c r="D190" i="2"/>
  <c r="F70" i="3"/>
  <c r="E70" i="3"/>
  <c r="D70" i="3"/>
  <c r="F69" i="3"/>
  <c r="E69" i="3"/>
  <c r="D69" i="3"/>
  <c r="F196" i="3"/>
  <c r="E196" i="3"/>
  <c r="D196" i="3"/>
  <c r="F195" i="3"/>
  <c r="E195" i="3"/>
  <c r="D195" i="3"/>
  <c r="F194" i="3"/>
  <c r="G194" i="3" s="1"/>
  <c r="H194" i="3" s="1"/>
  <c r="I194" i="3" s="1"/>
  <c r="J194" i="3" s="1"/>
  <c r="K194" i="3" s="1"/>
  <c r="E194" i="3"/>
  <c r="D194" i="3"/>
  <c r="F193" i="3"/>
  <c r="G193" i="3" s="1"/>
  <c r="H193" i="3" s="1"/>
  <c r="I193" i="3" s="1"/>
  <c r="J193" i="3" s="1"/>
  <c r="K193" i="3" s="1"/>
  <c r="E193" i="3"/>
  <c r="D193" i="3"/>
  <c r="F192" i="3"/>
  <c r="G192" i="3" s="1"/>
  <c r="H192" i="3" s="1"/>
  <c r="I192" i="3" s="1"/>
  <c r="J192" i="3" s="1"/>
  <c r="K192" i="3" s="1"/>
  <c r="E192" i="3"/>
  <c r="D192" i="3"/>
  <c r="F191" i="3"/>
  <c r="G191" i="3" s="1"/>
  <c r="H191" i="3" s="1"/>
  <c r="I191" i="3" s="1"/>
  <c r="J191" i="3" s="1"/>
  <c r="K191" i="3" s="1"/>
  <c r="E191" i="3"/>
  <c r="D191" i="3"/>
  <c r="F190" i="3"/>
  <c r="G190" i="3" s="1"/>
  <c r="E190" i="3"/>
  <c r="D190" i="3"/>
  <c r="F189" i="3"/>
  <c r="G189" i="3" s="1"/>
  <c r="H189" i="3" s="1"/>
  <c r="I189" i="3" s="1"/>
  <c r="J189" i="3" s="1"/>
  <c r="K189" i="3" s="1"/>
  <c r="E189" i="3"/>
  <c r="D189" i="3"/>
  <c r="F188" i="3"/>
  <c r="G188" i="3" s="1"/>
  <c r="H188" i="3" s="1"/>
  <c r="I188" i="3" s="1"/>
  <c r="J188" i="3" s="1"/>
  <c r="K188" i="3" s="1"/>
  <c r="E188" i="3"/>
  <c r="D188" i="3"/>
  <c r="F184" i="3"/>
  <c r="E184" i="3"/>
  <c r="D184" i="3"/>
  <c r="F183" i="3"/>
  <c r="E183" i="3"/>
  <c r="D183" i="3"/>
  <c r="F182" i="3"/>
  <c r="H182" i="3" s="1"/>
  <c r="I182" i="3" s="1"/>
  <c r="J182" i="3" s="1"/>
  <c r="K182" i="3" s="1"/>
  <c r="E182" i="3"/>
  <c r="D182" i="3"/>
  <c r="F181" i="3"/>
  <c r="H181" i="3" s="1"/>
  <c r="I181" i="3" s="1"/>
  <c r="J181" i="3" s="1"/>
  <c r="K181" i="3" s="1"/>
  <c r="E181" i="3"/>
  <c r="D181" i="3"/>
  <c r="F180" i="3"/>
  <c r="E180" i="3"/>
  <c r="D180" i="3"/>
  <c r="F179" i="3"/>
  <c r="E179" i="3"/>
  <c r="D179" i="3"/>
  <c r="F178" i="3"/>
  <c r="E178" i="3"/>
  <c r="D178" i="3"/>
  <c r="F177" i="3"/>
  <c r="E177" i="3"/>
  <c r="D177" i="3"/>
  <c r="F176" i="3"/>
  <c r="E176" i="3"/>
  <c r="D176" i="3"/>
  <c r="F175" i="3"/>
  <c r="E175" i="3"/>
  <c r="D175" i="3"/>
  <c r="F174" i="3"/>
  <c r="E174" i="3"/>
  <c r="D174" i="3"/>
  <c r="F173" i="3"/>
  <c r="E173" i="3"/>
  <c r="D173" i="3"/>
  <c r="F172" i="3"/>
  <c r="E172" i="3"/>
  <c r="D172" i="3"/>
  <c r="F165" i="3"/>
  <c r="E165" i="3"/>
  <c r="D165" i="3"/>
  <c r="F164" i="3"/>
  <c r="E164" i="3"/>
  <c r="D164" i="3"/>
  <c r="F163" i="3"/>
  <c r="E163" i="3"/>
  <c r="D163" i="3"/>
  <c r="F162" i="3"/>
  <c r="E162" i="3"/>
  <c r="D162" i="3"/>
  <c r="F161" i="3"/>
  <c r="E161" i="3"/>
  <c r="D161" i="3"/>
  <c r="F160" i="3"/>
  <c r="E160" i="3"/>
  <c r="D160" i="3"/>
  <c r="F159" i="3"/>
  <c r="E159" i="3"/>
  <c r="D159" i="3"/>
  <c r="F158" i="3"/>
  <c r="E158" i="3"/>
  <c r="D158" i="3"/>
  <c r="F168" i="3"/>
  <c r="E168" i="3"/>
  <c r="D168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7" i="3"/>
  <c r="E137" i="3"/>
  <c r="F136" i="3"/>
  <c r="E136" i="3"/>
  <c r="F135" i="3"/>
  <c r="E135" i="3"/>
  <c r="F134" i="3"/>
  <c r="E134" i="3"/>
  <c r="F132" i="3"/>
  <c r="E132" i="3"/>
  <c r="F131" i="3"/>
  <c r="E131" i="3"/>
  <c r="F130" i="3"/>
  <c r="E130" i="3"/>
  <c r="F128" i="3"/>
  <c r="E128" i="3"/>
  <c r="D144" i="3"/>
  <c r="D143" i="3"/>
  <c r="D142" i="3"/>
  <c r="D141" i="3"/>
  <c r="D140" i="3"/>
  <c r="D139" i="3"/>
  <c r="D137" i="3"/>
  <c r="D136" i="3"/>
  <c r="D135" i="3"/>
  <c r="D134" i="3"/>
  <c r="D132" i="3"/>
  <c r="D131" i="3"/>
  <c r="D130" i="3"/>
  <c r="F127" i="3"/>
  <c r="E127" i="3"/>
  <c r="F126" i="3"/>
  <c r="E126" i="3"/>
  <c r="F125" i="3"/>
  <c r="E125" i="3"/>
  <c r="F124" i="3"/>
  <c r="E124" i="3"/>
  <c r="D128" i="3"/>
  <c r="D127" i="3"/>
  <c r="D126" i="3"/>
  <c r="D125" i="3"/>
  <c r="D124" i="3"/>
  <c r="F113" i="3"/>
  <c r="G113" i="3" s="1"/>
  <c r="H113" i="3" s="1"/>
  <c r="I113" i="3" s="1"/>
  <c r="J113" i="3" s="1"/>
  <c r="K113" i="3" s="1"/>
  <c r="E113" i="3"/>
  <c r="F108" i="3"/>
  <c r="G108" i="3" s="1"/>
  <c r="H108" i="3" s="1"/>
  <c r="I108" i="3" s="1"/>
  <c r="J108" i="3" s="1"/>
  <c r="K108" i="3" s="1"/>
  <c r="E108" i="3"/>
  <c r="F105" i="3"/>
  <c r="G105" i="3" s="1"/>
  <c r="H105" i="3" s="1"/>
  <c r="I105" i="3" s="1"/>
  <c r="J105" i="3" s="1"/>
  <c r="K105" i="3" s="1"/>
  <c r="E105" i="3"/>
  <c r="F101" i="3"/>
  <c r="E101" i="3"/>
  <c r="F95" i="3"/>
  <c r="E95" i="3"/>
  <c r="F91" i="3"/>
  <c r="E91" i="3"/>
  <c r="D113" i="3"/>
  <c r="D108" i="3"/>
  <c r="D105" i="3"/>
  <c r="D101" i="3"/>
  <c r="D95" i="3"/>
  <c r="D91" i="3"/>
  <c r="F116" i="2"/>
  <c r="D116" i="2"/>
  <c r="E113" i="2" s="1"/>
  <c r="E116" i="2" s="1"/>
  <c r="F80" i="3"/>
  <c r="E80" i="3"/>
  <c r="F79" i="3"/>
  <c r="G79" i="3" s="1"/>
  <c r="H79" i="3" s="1"/>
  <c r="I79" i="3" s="1"/>
  <c r="J79" i="3" s="1"/>
  <c r="K79" i="3" s="1"/>
  <c r="E79" i="3"/>
  <c r="D79" i="3"/>
  <c r="D80" i="3"/>
  <c r="F153" i="2"/>
  <c r="E153" i="2"/>
  <c r="D153" i="2"/>
  <c r="F182" i="2"/>
  <c r="E182" i="2"/>
  <c r="F186" i="2"/>
  <c r="E186" i="2"/>
  <c r="D186" i="2"/>
  <c r="D182" i="2"/>
  <c r="F78" i="3"/>
  <c r="G30" i="4" s="1"/>
  <c r="G37" i="4" s="1"/>
  <c r="G64" i="4" s="1"/>
  <c r="E78" i="3"/>
  <c r="D78" i="3"/>
  <c r="F75" i="3"/>
  <c r="E75" i="3"/>
  <c r="F74" i="3"/>
  <c r="E74" i="3"/>
  <c r="D75" i="3"/>
  <c r="D74" i="3"/>
  <c r="F71" i="3"/>
  <c r="E71" i="3"/>
  <c r="F68" i="3"/>
  <c r="E68" i="3"/>
  <c r="F67" i="3"/>
  <c r="E67" i="3"/>
  <c r="F66" i="3"/>
  <c r="E66" i="3"/>
  <c r="D71" i="3"/>
  <c r="D68" i="3"/>
  <c r="D67" i="3"/>
  <c r="D66" i="3"/>
  <c r="F64" i="2"/>
  <c r="E64" i="2"/>
  <c r="D64" i="2"/>
  <c r="F60" i="2"/>
  <c r="E60" i="2"/>
  <c r="D60" i="2"/>
  <c r="F59" i="3"/>
  <c r="E59" i="3"/>
  <c r="F58" i="3"/>
  <c r="E58" i="3"/>
  <c r="F57" i="3"/>
  <c r="E57" i="3"/>
  <c r="F56" i="3"/>
  <c r="G56" i="3" s="1"/>
  <c r="H56" i="3" s="1"/>
  <c r="I56" i="3" s="1"/>
  <c r="J56" i="3" s="1"/>
  <c r="K56" i="3" s="1"/>
  <c r="E56" i="3"/>
  <c r="F55" i="3"/>
  <c r="E55" i="3"/>
  <c r="F54" i="3"/>
  <c r="E54" i="3"/>
  <c r="D56" i="3"/>
  <c r="D59" i="3"/>
  <c r="D58" i="3"/>
  <c r="D57" i="3"/>
  <c r="D55" i="3"/>
  <c r="D54" i="3"/>
  <c r="F178" i="2"/>
  <c r="E178" i="2"/>
  <c r="D178" i="2"/>
  <c r="F48" i="3"/>
  <c r="E48" i="3"/>
  <c r="F49" i="3"/>
  <c r="E49" i="3"/>
  <c r="D49" i="3"/>
  <c r="D48" i="3"/>
  <c r="F134" i="2"/>
  <c r="E134" i="2"/>
  <c r="D134" i="2"/>
  <c r="F51" i="3"/>
  <c r="E51" i="3"/>
  <c r="F50" i="3"/>
  <c r="G50" i="3" s="1"/>
  <c r="H50" i="3" s="1"/>
  <c r="I50" i="3" s="1"/>
  <c r="J50" i="3" s="1"/>
  <c r="K50" i="3" s="1"/>
  <c r="E50" i="3"/>
  <c r="F47" i="3"/>
  <c r="E47" i="3"/>
  <c r="F46" i="3"/>
  <c r="G18" i="4" s="1"/>
  <c r="E46" i="3"/>
  <c r="F18" i="4" s="1"/>
  <c r="F45" i="3"/>
  <c r="G45" i="3" s="1"/>
  <c r="H45" i="3" s="1"/>
  <c r="I45" i="3" s="1"/>
  <c r="J45" i="3" s="1"/>
  <c r="K45" i="3" s="1"/>
  <c r="E45" i="3"/>
  <c r="F44" i="3"/>
  <c r="E44" i="3"/>
  <c r="D50" i="3"/>
  <c r="D51" i="3"/>
  <c r="D45" i="3"/>
  <c r="D44" i="3"/>
  <c r="D47" i="3"/>
  <c r="D46" i="3"/>
  <c r="E18" i="4" s="1"/>
  <c r="F158" i="2"/>
  <c r="E158" i="2"/>
  <c r="D158" i="2"/>
  <c r="F149" i="2"/>
  <c r="E149" i="2"/>
  <c r="D149" i="2"/>
  <c r="F144" i="2"/>
  <c r="E144" i="2"/>
  <c r="D144" i="2"/>
  <c r="M68" i="1"/>
  <c r="L68" i="1"/>
  <c r="K68" i="1"/>
  <c r="J68" i="1"/>
  <c r="I68" i="1"/>
  <c r="M63" i="1"/>
  <c r="L63" i="1"/>
  <c r="K63" i="1"/>
  <c r="J63" i="1"/>
  <c r="I63" i="1"/>
  <c r="B68" i="1"/>
  <c r="B63" i="1"/>
  <c r="F124" i="2"/>
  <c r="E124" i="2"/>
  <c r="F129" i="2"/>
  <c r="E129" i="2"/>
  <c r="F139" i="2"/>
  <c r="E139" i="2"/>
  <c r="D139" i="2"/>
  <c r="D129" i="2"/>
  <c r="D124" i="2"/>
  <c r="G109" i="2"/>
  <c r="I109" i="2" s="1"/>
  <c r="J109" i="2" s="1"/>
  <c r="K109" i="2" s="1"/>
  <c r="F106" i="2"/>
  <c r="E106" i="2"/>
  <c r="D106" i="2"/>
  <c r="F31" i="2"/>
  <c r="E31" i="2"/>
  <c r="D31" i="2"/>
  <c r="F104" i="2"/>
  <c r="E104" i="2"/>
  <c r="D104" i="2"/>
  <c r="F103" i="2"/>
  <c r="E103" i="2"/>
  <c r="F101" i="2"/>
  <c r="E101" i="2"/>
  <c r="D101" i="2"/>
  <c r="D103" i="2"/>
  <c r="F208" i="2"/>
  <c r="E208" i="2"/>
  <c r="D208" i="2"/>
  <c r="B92" i="2"/>
  <c r="B93" i="2" s="1"/>
  <c r="B94" i="2" s="1"/>
  <c r="B95" i="2" s="1"/>
  <c r="B96" i="2" s="1"/>
  <c r="F97" i="2"/>
  <c r="B82" i="2"/>
  <c r="B83" i="2" s="1"/>
  <c r="B84" i="2" s="1"/>
  <c r="B85" i="2" s="1"/>
  <c r="B86" i="2" s="1"/>
  <c r="F87" i="2"/>
  <c r="F77" i="2"/>
  <c r="G53" i="2"/>
  <c r="G47" i="2"/>
  <c r="E29" i="4" l="1"/>
  <c r="E33" i="4" s="1"/>
  <c r="F29" i="4"/>
  <c r="E30" i="4"/>
  <c r="E37" i="4" s="1"/>
  <c r="E64" i="4" s="1"/>
  <c r="G29" i="4"/>
  <c r="F30" i="4"/>
  <c r="F37" i="4" s="1"/>
  <c r="F64" i="4" s="1"/>
  <c r="E185" i="3"/>
  <c r="D185" i="3"/>
  <c r="F185" i="3"/>
  <c r="D197" i="3"/>
  <c r="E197" i="3"/>
  <c r="H190" i="3"/>
  <c r="I190" i="3" s="1"/>
  <c r="J190" i="3" s="1"/>
  <c r="K190" i="3" s="1"/>
  <c r="F197" i="3"/>
  <c r="F81" i="3"/>
  <c r="D76" i="3"/>
  <c r="D81" i="3"/>
  <c r="E81" i="3"/>
  <c r="G78" i="3"/>
  <c r="F76" i="3"/>
  <c r="F113" i="2"/>
  <c r="F72" i="3"/>
  <c r="E76" i="3"/>
  <c r="D72" i="3"/>
  <c r="E72" i="3"/>
  <c r="E60" i="3"/>
  <c r="F60" i="3"/>
  <c r="D60" i="3"/>
  <c r="D52" i="3"/>
  <c r="F52" i="3"/>
  <c r="D166" i="2"/>
  <c r="E52" i="3"/>
  <c r="D172" i="2"/>
  <c r="G91" i="2"/>
  <c r="G81" i="2"/>
  <c r="G71" i="2"/>
  <c r="E79" i="4" l="1"/>
  <c r="F14" i="4"/>
  <c r="F19" i="4"/>
  <c r="E14" i="4"/>
  <c r="E19" i="4"/>
  <c r="F13" i="4"/>
  <c r="F17" i="4"/>
  <c r="G33" i="4"/>
  <c r="G79" i="4"/>
  <c r="G19" i="4"/>
  <c r="G14" i="4"/>
  <c r="E17" i="4"/>
  <c r="E20" i="4" s="1"/>
  <c r="E13" i="4"/>
  <c r="G13" i="4"/>
  <c r="G17" i="4"/>
  <c r="F33" i="4"/>
  <c r="F79" i="4"/>
  <c r="D83" i="3"/>
  <c r="E83" i="3"/>
  <c r="F83" i="3"/>
  <c r="H78" i="3"/>
  <c r="G113" i="2"/>
  <c r="F62" i="3"/>
  <c r="E62" i="3"/>
  <c r="D62" i="3"/>
  <c r="E172" i="2"/>
  <c r="E166" i="2"/>
  <c r="F172" i="2"/>
  <c r="D174" i="2"/>
  <c r="H91" i="2"/>
  <c r="H81" i="2"/>
  <c r="H71" i="2"/>
  <c r="F20" i="4" l="1"/>
  <c r="E74" i="4"/>
  <c r="E34" i="4"/>
  <c r="E38" i="4" s="1"/>
  <c r="E60" i="4" s="1"/>
  <c r="E70" i="4" s="1"/>
  <c r="F74" i="4"/>
  <c r="F34" i="4"/>
  <c r="F38" i="4" s="1"/>
  <c r="F60" i="4" s="1"/>
  <c r="F70" i="4" s="1"/>
  <c r="G74" i="4"/>
  <c r="G34" i="4"/>
  <c r="G38" i="4" s="1"/>
  <c r="G60" i="4" s="1"/>
  <c r="G70" i="4" s="1"/>
  <c r="G20" i="4"/>
  <c r="D84" i="3"/>
  <c r="E84" i="3"/>
  <c r="F84" i="3"/>
  <c r="I78" i="3"/>
  <c r="E174" i="2"/>
  <c r="F174" i="2"/>
  <c r="I91" i="2"/>
  <c r="I81" i="2"/>
  <c r="I71" i="2"/>
  <c r="J78" i="3" l="1"/>
  <c r="J91" i="2"/>
  <c r="J81" i="2"/>
  <c r="J71" i="2"/>
  <c r="K78" i="3" l="1"/>
  <c r="K91" i="2"/>
  <c r="K81" i="2"/>
  <c r="K71" i="2"/>
  <c r="G41" i="2" l="1"/>
  <c r="M75" i="1" l="1"/>
  <c r="K214" i="2" s="1"/>
  <c r="L75" i="1"/>
  <c r="J214" i="2" s="1"/>
  <c r="K75" i="1"/>
  <c r="I214" i="2" s="1"/>
  <c r="J75" i="1"/>
  <c r="H214" i="2" s="1"/>
  <c r="I75" i="1"/>
  <c r="G214" i="2" s="1"/>
  <c r="B75" i="1"/>
  <c r="F213" i="2"/>
  <c r="E213" i="2"/>
  <c r="D213" i="2"/>
  <c r="M54" i="1"/>
  <c r="L54" i="1"/>
  <c r="K54" i="1"/>
  <c r="J54" i="1"/>
  <c r="I54" i="1"/>
  <c r="B54" i="1"/>
  <c r="M49" i="1"/>
  <c r="L49" i="1"/>
  <c r="K49" i="1"/>
  <c r="J49" i="1"/>
  <c r="I49" i="1"/>
  <c r="B49" i="1"/>
  <c r="M44" i="1"/>
  <c r="K29" i="2" s="1"/>
  <c r="L44" i="1"/>
  <c r="J29" i="2" s="1"/>
  <c r="K44" i="1"/>
  <c r="I29" i="2" s="1"/>
  <c r="J44" i="1"/>
  <c r="H29" i="2" s="1"/>
  <c r="I44" i="1"/>
  <c r="G29" i="2" s="1"/>
  <c r="B44" i="1"/>
  <c r="M39" i="1"/>
  <c r="K26" i="2" s="1"/>
  <c r="L39" i="1"/>
  <c r="J26" i="2" s="1"/>
  <c r="K39" i="1"/>
  <c r="I26" i="2" s="1"/>
  <c r="J39" i="1"/>
  <c r="H26" i="2" s="1"/>
  <c r="I39" i="1"/>
  <c r="G26" i="2" s="1"/>
  <c r="B39" i="1"/>
  <c r="M34" i="1"/>
  <c r="K23" i="2" s="1"/>
  <c r="L34" i="1"/>
  <c r="J23" i="2" s="1"/>
  <c r="K34" i="1"/>
  <c r="I23" i="2" s="1"/>
  <c r="J34" i="1"/>
  <c r="H23" i="2" s="1"/>
  <c r="I34" i="1"/>
  <c r="G23" i="2" s="1"/>
  <c r="B34" i="1"/>
  <c r="F28" i="2"/>
  <c r="E28" i="2"/>
  <c r="F34" i="2"/>
  <c r="E34" i="2"/>
  <c r="D34" i="2"/>
  <c r="D28" i="2"/>
  <c r="F25" i="2"/>
  <c r="E25" i="2"/>
  <c r="D25" i="2"/>
  <c r="F22" i="2"/>
  <c r="E22" i="2"/>
  <c r="D22" i="2"/>
  <c r="F38" i="3"/>
  <c r="E38" i="3"/>
  <c r="D38" i="3"/>
  <c r="F35" i="3"/>
  <c r="E35" i="3"/>
  <c r="F34" i="3"/>
  <c r="E34" i="3"/>
  <c r="F33" i="3"/>
  <c r="G84" i="4" s="1"/>
  <c r="E33" i="3"/>
  <c r="F84" i="4" s="1"/>
  <c r="D35" i="3"/>
  <c r="D34" i="3"/>
  <c r="D33" i="3"/>
  <c r="E84" i="4" s="1"/>
  <c r="F29" i="3"/>
  <c r="E29" i="3"/>
  <c r="D29" i="3"/>
  <c r="F21" i="3"/>
  <c r="E21" i="3"/>
  <c r="F20" i="3"/>
  <c r="E20" i="3"/>
  <c r="F19" i="3"/>
  <c r="E19" i="3"/>
  <c r="F18" i="3"/>
  <c r="E18" i="3"/>
  <c r="F17" i="3"/>
  <c r="E17" i="3"/>
  <c r="D21" i="3"/>
  <c r="D20" i="3"/>
  <c r="D19" i="3"/>
  <c r="D18" i="3"/>
  <c r="D17" i="3"/>
  <c r="F13" i="3"/>
  <c r="E13" i="3"/>
  <c r="D13" i="3"/>
  <c r="M26" i="1"/>
  <c r="K18" i="2" s="1"/>
  <c r="L26" i="1"/>
  <c r="J18" i="2" s="1"/>
  <c r="K26" i="1"/>
  <c r="I18" i="2" s="1"/>
  <c r="J26" i="1"/>
  <c r="H18" i="2" s="1"/>
  <c r="I26" i="1"/>
  <c r="G18" i="2" s="1"/>
  <c r="G17" i="2" s="1"/>
  <c r="M21" i="1"/>
  <c r="K16" i="2" s="1"/>
  <c r="L21" i="1"/>
  <c r="J16" i="2" s="1"/>
  <c r="K21" i="1"/>
  <c r="I16" i="2" s="1"/>
  <c r="J21" i="1"/>
  <c r="H16" i="2" s="1"/>
  <c r="I21" i="1"/>
  <c r="G16" i="2" s="1"/>
  <c r="G15" i="2" s="1"/>
  <c r="B26" i="1"/>
  <c r="B21" i="1"/>
  <c r="M16" i="1"/>
  <c r="K14" i="2" s="1"/>
  <c r="L16" i="1"/>
  <c r="J14" i="2" s="1"/>
  <c r="K16" i="1"/>
  <c r="I14" i="2" s="1"/>
  <c r="J16" i="1"/>
  <c r="H14" i="2" s="1"/>
  <c r="I16" i="1"/>
  <c r="G14" i="2" s="1"/>
  <c r="B16" i="1"/>
  <c r="F18" i="2"/>
  <c r="E18" i="2"/>
  <c r="F16" i="2"/>
  <c r="E16" i="2"/>
  <c r="F13" i="2"/>
  <c r="F195" i="2" s="1"/>
  <c r="E13" i="2"/>
  <c r="D13" i="2"/>
  <c r="D195" i="2" s="1"/>
  <c r="B2" i="8"/>
  <c r="H17" i="8"/>
  <c r="I17" i="8" s="1"/>
  <c r="J17" i="8" s="1"/>
  <c r="L17" i="8" s="1"/>
  <c r="H15" i="8"/>
  <c r="I15" i="8" s="1"/>
  <c r="J15" i="8" s="1"/>
  <c r="K15" i="8" s="1"/>
  <c r="L15" i="8" s="1"/>
  <c r="H14" i="8"/>
  <c r="I14" i="8" s="1"/>
  <c r="J14" i="8" s="1"/>
  <c r="K14" i="8" s="1"/>
  <c r="L14" i="8" s="1"/>
  <c r="C26" i="8"/>
  <c r="B2" i="7"/>
  <c r="B2" i="5"/>
  <c r="B2" i="6"/>
  <c r="B2" i="4"/>
  <c r="B2" i="3"/>
  <c r="B2" i="2"/>
  <c r="D6" i="7"/>
  <c r="E6" i="7" s="1"/>
  <c r="D6" i="6"/>
  <c r="E6" i="6" s="1"/>
  <c r="D6" i="5"/>
  <c r="E6" i="5" s="1"/>
  <c r="E15" i="4"/>
  <c r="F9" i="4"/>
  <c r="G9" i="4" s="1"/>
  <c r="H9" i="4" s="1"/>
  <c r="I9" i="4" s="1"/>
  <c r="J9" i="4" s="1"/>
  <c r="K9" i="4" s="1"/>
  <c r="L9" i="4" s="1"/>
  <c r="E9" i="3"/>
  <c r="F9" i="3" s="1"/>
  <c r="G9" i="3" s="1"/>
  <c r="H9" i="3" s="1"/>
  <c r="I9" i="3" s="1"/>
  <c r="J9" i="3" s="1"/>
  <c r="K9" i="3" s="1"/>
  <c r="B72" i="2"/>
  <c r="B73" i="2" s="1"/>
  <c r="B74" i="2" s="1"/>
  <c r="B75" i="2" s="1"/>
  <c r="B76" i="2" s="1"/>
  <c r="F9" i="2"/>
  <c r="G9" i="2" s="1"/>
  <c r="H9" i="2" s="1"/>
  <c r="I9" i="2" s="1"/>
  <c r="J9" i="2" s="1"/>
  <c r="K9" i="2" s="1"/>
  <c r="H9" i="1"/>
  <c r="I9" i="1" s="1"/>
  <c r="J9" i="1" s="1"/>
  <c r="K9" i="1" s="1"/>
  <c r="L9" i="1" s="1"/>
  <c r="F9" i="1"/>
  <c r="G13" i="2" l="1"/>
  <c r="G22" i="2" s="1"/>
  <c r="D14" i="3"/>
  <c r="E43" i="4" s="1"/>
  <c r="E44" i="4"/>
  <c r="E48" i="4" s="1"/>
  <c r="E52" i="4" s="1"/>
  <c r="E56" i="4" s="1"/>
  <c r="E69" i="4" s="1"/>
  <c r="E73" i="4"/>
  <c r="E75" i="4" s="1"/>
  <c r="E14" i="3"/>
  <c r="F43" i="4" s="1"/>
  <c r="F73" i="4"/>
  <c r="F75" i="4" s="1"/>
  <c r="F44" i="4"/>
  <c r="F48" i="4" s="1"/>
  <c r="F52" i="4" s="1"/>
  <c r="F56" i="4" s="1"/>
  <c r="F69" i="4" s="1"/>
  <c r="F14" i="3"/>
  <c r="G43" i="4" s="1"/>
  <c r="G44" i="4"/>
  <c r="G48" i="4" s="1"/>
  <c r="G52" i="4" s="1"/>
  <c r="G56" i="4" s="1"/>
  <c r="G69" i="4" s="1"/>
  <c r="G71" i="4" s="1"/>
  <c r="G73" i="4"/>
  <c r="G75" i="4" s="1"/>
  <c r="E195" i="2"/>
  <c r="G15" i="4"/>
  <c r="F15" i="4"/>
  <c r="G35" i="4"/>
  <c r="F154" i="2"/>
  <c r="F191" i="2"/>
  <c r="D191" i="2"/>
  <c r="D154" i="2"/>
  <c r="E154" i="2"/>
  <c r="E191" i="2"/>
  <c r="F187" i="2"/>
  <c r="F183" i="2"/>
  <c r="D183" i="2"/>
  <c r="D187" i="2"/>
  <c r="E187" i="2"/>
  <c r="E183" i="2"/>
  <c r="F61" i="2"/>
  <c r="F65" i="2"/>
  <c r="D61" i="2"/>
  <c r="D65" i="2"/>
  <c r="E61" i="2"/>
  <c r="E65" i="2"/>
  <c r="F133" i="2"/>
  <c r="F135" i="2" s="1"/>
  <c r="F177" i="2"/>
  <c r="F179" i="2" s="1"/>
  <c r="D133" i="2"/>
  <c r="D135" i="2" s="1"/>
  <c r="D177" i="2"/>
  <c r="D179" i="2" s="1"/>
  <c r="E133" i="2"/>
  <c r="E135" i="2" s="1"/>
  <c r="E177" i="2"/>
  <c r="E179" i="2" s="1"/>
  <c r="D23" i="3"/>
  <c r="D24" i="3" s="1"/>
  <c r="E23" i="3"/>
  <c r="F23" i="3"/>
  <c r="D143" i="2"/>
  <c r="D145" i="2" s="1"/>
  <c r="E24" i="4" s="1"/>
  <c r="D157" i="2"/>
  <c r="D159" i="2" s="1"/>
  <c r="D148" i="2"/>
  <c r="D150" i="2" s="1"/>
  <c r="E157" i="2"/>
  <c r="E159" i="2" s="1"/>
  <c r="E143" i="2"/>
  <c r="E145" i="2" s="1"/>
  <c r="F24" i="4" s="1"/>
  <c r="F25" i="4" s="1"/>
  <c r="E148" i="2"/>
  <c r="E150" i="2" s="1"/>
  <c r="F157" i="2"/>
  <c r="F159" i="2" s="1"/>
  <c r="F148" i="2"/>
  <c r="F150" i="2" s="1"/>
  <c r="F143" i="2"/>
  <c r="F145" i="2" s="1"/>
  <c r="G24" i="4" s="1"/>
  <c r="D138" i="2"/>
  <c r="D140" i="2" s="1"/>
  <c r="D128" i="2"/>
  <c r="D130" i="2" s="1"/>
  <c r="E22" i="4" s="1"/>
  <c r="D123" i="2"/>
  <c r="D125" i="2" s="1"/>
  <c r="E23" i="4" s="1"/>
  <c r="E207" i="2"/>
  <c r="E209" i="2" s="1"/>
  <c r="E138" i="2"/>
  <c r="E140" i="2" s="1"/>
  <c r="E128" i="2"/>
  <c r="E130" i="2" s="1"/>
  <c r="F22" i="4" s="1"/>
  <c r="E123" i="2"/>
  <c r="E125" i="2" s="1"/>
  <c r="F23" i="4" s="1"/>
  <c r="E37" i="2"/>
  <c r="E102" i="2" s="1"/>
  <c r="E105" i="2" s="1"/>
  <c r="E107" i="2" s="1"/>
  <c r="F207" i="2"/>
  <c r="F209" i="2" s="1"/>
  <c r="F138" i="2"/>
  <c r="F140" i="2" s="1"/>
  <c r="F128" i="2"/>
  <c r="F130" i="2" s="1"/>
  <c r="G22" i="4" s="1"/>
  <c r="F123" i="2"/>
  <c r="F125" i="2" s="1"/>
  <c r="G23" i="4" s="1"/>
  <c r="D207" i="2"/>
  <c r="D209" i="2" s="1"/>
  <c r="F32" i="2"/>
  <c r="F200" i="2"/>
  <c r="E32" i="2"/>
  <c r="E200" i="2"/>
  <c r="D212" i="2"/>
  <c r="D214" i="2" s="1"/>
  <c r="D200" i="2"/>
  <c r="E35" i="2"/>
  <c r="D29" i="2"/>
  <c r="D35" i="2"/>
  <c r="F37" i="2"/>
  <c r="F29" i="2"/>
  <c r="F35" i="2"/>
  <c r="E29" i="2"/>
  <c r="E212" i="2"/>
  <c r="E214" i="2" s="1"/>
  <c r="F212" i="2"/>
  <c r="F214" i="2" s="1"/>
  <c r="E23" i="2"/>
  <c r="D23" i="2"/>
  <c r="E26" i="2"/>
  <c r="F26" i="2"/>
  <c r="F23" i="2"/>
  <c r="D26" i="2"/>
  <c r="L25" i="4"/>
  <c r="E31" i="4"/>
  <c r="G31" i="4"/>
  <c r="E35" i="4"/>
  <c r="E39" i="4"/>
  <c r="F39" i="4"/>
  <c r="G39" i="4"/>
  <c r="E71" i="4"/>
  <c r="F71" i="4"/>
  <c r="F35" i="4"/>
  <c r="I25" i="4"/>
  <c r="H25" i="4"/>
  <c r="J25" i="4"/>
  <c r="D37" i="2"/>
  <c r="D32" i="2"/>
  <c r="H17" i="2"/>
  <c r="I17" i="2" s="1"/>
  <c r="J17" i="2" s="1"/>
  <c r="K17" i="2" s="1"/>
  <c r="H15" i="2"/>
  <c r="F14" i="2"/>
  <c r="E14" i="2"/>
  <c r="F31" i="4"/>
  <c r="K25" i="4"/>
  <c r="M9" i="1"/>
  <c r="E24" i="3" l="1"/>
  <c r="F45" i="4"/>
  <c r="G45" i="4"/>
  <c r="F24" i="3"/>
  <c r="E45" i="4"/>
  <c r="F30" i="3"/>
  <c r="G51" i="4" s="1"/>
  <c r="G47" i="4"/>
  <c r="F26" i="3"/>
  <c r="D30" i="3"/>
  <c r="E47" i="4"/>
  <c r="D26" i="3"/>
  <c r="E30" i="3"/>
  <c r="F51" i="4" s="1"/>
  <c r="F47" i="4"/>
  <c r="E26" i="3"/>
  <c r="E25" i="4"/>
  <c r="G25" i="4"/>
  <c r="E202" i="2"/>
  <c r="E204" i="2"/>
  <c r="F204" i="2"/>
  <c r="F202" i="2"/>
  <c r="D204" i="2"/>
  <c r="D202" i="2"/>
  <c r="G194" i="2"/>
  <c r="G70" i="3" s="1"/>
  <c r="G190" i="2"/>
  <c r="G69" i="3" s="1"/>
  <c r="G153" i="2"/>
  <c r="G60" i="2"/>
  <c r="G58" i="3" s="1"/>
  <c r="G186" i="2"/>
  <c r="G75" i="3" s="1"/>
  <c r="G182" i="2"/>
  <c r="G74" i="3" s="1"/>
  <c r="G133" i="2"/>
  <c r="G134" i="2" s="1"/>
  <c r="G177" i="2"/>
  <c r="G178" i="2" s="1"/>
  <c r="G48" i="3" s="1"/>
  <c r="G157" i="2"/>
  <c r="G158" i="2" s="1"/>
  <c r="G143" i="2"/>
  <c r="G144" i="2" s="1"/>
  <c r="G66" i="3" s="1"/>
  <c r="G148" i="2"/>
  <c r="G149" i="2" s="1"/>
  <c r="G138" i="2"/>
  <c r="G139" i="2" s="1"/>
  <c r="G123" i="2"/>
  <c r="G124" i="2" s="1"/>
  <c r="G128" i="2"/>
  <c r="G129" i="2" s="1"/>
  <c r="H46" i="3" s="1"/>
  <c r="I18" i="4" s="1"/>
  <c r="G207" i="2"/>
  <c r="G208" i="2" s="1"/>
  <c r="G34" i="3" s="1"/>
  <c r="G101" i="2"/>
  <c r="F102" i="2"/>
  <c r="F105" i="2" s="1"/>
  <c r="F107" i="2" s="1"/>
  <c r="D102" i="2"/>
  <c r="D105" i="2" s="1"/>
  <c r="D107" i="2" s="1"/>
  <c r="G54" i="2"/>
  <c r="G92" i="2" s="1"/>
  <c r="G200" i="2"/>
  <c r="G48" i="2"/>
  <c r="G82" i="2" s="1"/>
  <c r="G42" i="2"/>
  <c r="G13" i="3"/>
  <c r="G25" i="2"/>
  <c r="G18" i="3" s="1"/>
  <c r="G34" i="2"/>
  <c r="G21" i="3" s="1"/>
  <c r="G212" i="2"/>
  <c r="G213" i="2" s="1"/>
  <c r="G35" i="3" s="1"/>
  <c r="G28" i="2"/>
  <c r="G19" i="3" s="1"/>
  <c r="G31" i="2"/>
  <c r="G20" i="3" s="1"/>
  <c r="I15" i="2"/>
  <c r="H13" i="2"/>
  <c r="H194" i="2" s="1"/>
  <c r="H70" i="3" s="1"/>
  <c r="F36" i="3" l="1"/>
  <c r="F39" i="3" s="1"/>
  <c r="G14" i="3"/>
  <c r="H43" i="4" s="1"/>
  <c r="H44" i="4"/>
  <c r="H48" i="4" s="1"/>
  <c r="H52" i="4" s="1"/>
  <c r="H56" i="4" s="1"/>
  <c r="H69" i="4" s="1"/>
  <c r="H73" i="4"/>
  <c r="F83" i="4"/>
  <c r="F85" i="4" s="1"/>
  <c r="F53" i="4"/>
  <c r="E36" i="3"/>
  <c r="E80" i="4"/>
  <c r="E81" i="4" s="1"/>
  <c r="E49" i="4"/>
  <c r="D36" i="3"/>
  <c r="E51" i="4"/>
  <c r="G80" i="4"/>
  <c r="G81" i="4" s="1"/>
  <c r="G49" i="4"/>
  <c r="F80" i="4"/>
  <c r="F81" i="4" s="1"/>
  <c r="F49" i="4"/>
  <c r="H29" i="4"/>
  <c r="H79" i="4" s="1"/>
  <c r="G83" i="4"/>
  <c r="G85" i="4" s="1"/>
  <c r="G53" i="4"/>
  <c r="G76" i="3"/>
  <c r="G201" i="2"/>
  <c r="G104" i="2" s="1"/>
  <c r="G203" i="2"/>
  <c r="G195" i="3" s="1"/>
  <c r="G49" i="3"/>
  <c r="G164" i="2"/>
  <c r="G161" i="3" s="1"/>
  <c r="H208" i="3"/>
  <c r="G68" i="3"/>
  <c r="G171" i="2"/>
  <c r="G72" i="2"/>
  <c r="G172" i="3"/>
  <c r="G185" i="3" s="1"/>
  <c r="G71" i="3"/>
  <c r="G170" i="2"/>
  <c r="G163" i="3" s="1"/>
  <c r="G208" i="3"/>
  <c r="H153" i="2"/>
  <c r="H190" i="2"/>
  <c r="H69" i="3" s="1"/>
  <c r="E39" i="3"/>
  <c r="H60" i="2"/>
  <c r="H58" i="3" s="1"/>
  <c r="H182" i="2"/>
  <c r="H74" i="3" s="1"/>
  <c r="H186" i="2"/>
  <c r="H75" i="3" s="1"/>
  <c r="G17" i="3"/>
  <c r="G23" i="3" s="1"/>
  <c r="G24" i="3" s="1"/>
  <c r="G26" i="3" s="1"/>
  <c r="G64" i="2"/>
  <c r="G57" i="3" s="1"/>
  <c r="G169" i="2"/>
  <c r="G165" i="3" s="1"/>
  <c r="G67" i="3"/>
  <c r="H133" i="2"/>
  <c r="H134" i="2" s="1"/>
  <c r="H49" i="3" s="1"/>
  <c r="H177" i="2"/>
  <c r="H178" i="2" s="1"/>
  <c r="H48" i="3" s="1"/>
  <c r="G47" i="3"/>
  <c r="H47" i="3"/>
  <c r="G162" i="2"/>
  <c r="G158" i="3" s="1"/>
  <c r="G46" i="3"/>
  <c r="H18" i="4" s="1"/>
  <c r="G165" i="2"/>
  <c r="G160" i="3" s="1"/>
  <c r="G51" i="3"/>
  <c r="G163" i="2"/>
  <c r="G159" i="3" s="1"/>
  <c r="G168" i="2"/>
  <c r="H143" i="2"/>
  <c r="H144" i="2" s="1"/>
  <c r="H66" i="3" s="1"/>
  <c r="H148" i="2"/>
  <c r="H149" i="2" s="1"/>
  <c r="H157" i="2"/>
  <c r="H158" i="2" s="1"/>
  <c r="H68" i="3" s="1"/>
  <c r="H138" i="2"/>
  <c r="H139" i="2" s="1"/>
  <c r="H123" i="2"/>
  <c r="H124" i="2" s="1"/>
  <c r="I47" i="3" s="1"/>
  <c r="H128" i="2"/>
  <c r="H129" i="2" s="1"/>
  <c r="H207" i="2"/>
  <c r="H208" i="2" s="1"/>
  <c r="H34" i="3" s="1"/>
  <c r="H101" i="2"/>
  <c r="H54" i="2"/>
  <c r="H93" i="2" s="1"/>
  <c r="I93" i="2" s="1"/>
  <c r="J93" i="2" s="1"/>
  <c r="K93" i="2" s="1"/>
  <c r="H200" i="2"/>
  <c r="H92" i="2"/>
  <c r="G97" i="2"/>
  <c r="H48" i="2"/>
  <c r="H42" i="2"/>
  <c r="H13" i="3"/>
  <c r="H22" i="2"/>
  <c r="H212" i="2"/>
  <c r="H213" i="2" s="1"/>
  <c r="H35" i="3" s="1"/>
  <c r="H31" i="2"/>
  <c r="H20" i="3" s="1"/>
  <c r="H25" i="2"/>
  <c r="H18" i="3" s="1"/>
  <c r="H28" i="2"/>
  <c r="H19" i="3" s="1"/>
  <c r="H34" i="2"/>
  <c r="H21" i="3" s="1"/>
  <c r="G37" i="2"/>
  <c r="J15" i="2"/>
  <c r="I13" i="2"/>
  <c r="I194" i="2" s="1"/>
  <c r="I70" i="3" s="1"/>
  <c r="F55" i="4" l="1"/>
  <c r="E88" i="3"/>
  <c r="E154" i="3"/>
  <c r="E166" i="3" s="1"/>
  <c r="E169" i="3" s="1"/>
  <c r="E199" i="3" s="1"/>
  <c r="E201" i="3" s="1"/>
  <c r="G55" i="4"/>
  <c r="F88" i="3"/>
  <c r="I29" i="4"/>
  <c r="I79" i="4" s="1"/>
  <c r="F154" i="3"/>
  <c r="F166" i="3" s="1"/>
  <c r="F169" i="3" s="1"/>
  <c r="F199" i="3" s="1"/>
  <c r="F201" i="3" s="1"/>
  <c r="G200" i="3" s="1"/>
  <c r="H33" i="4"/>
  <c r="H45" i="4"/>
  <c r="D39" i="3"/>
  <c r="H47" i="4"/>
  <c r="F59" i="4"/>
  <c r="F57" i="4"/>
  <c r="E83" i="4"/>
  <c r="E85" i="4" s="1"/>
  <c r="E53" i="4"/>
  <c r="I44" i="4"/>
  <c r="I48" i="4" s="1"/>
  <c r="I52" i="4" s="1"/>
  <c r="I56" i="4" s="1"/>
  <c r="I69" i="4" s="1"/>
  <c r="I73" i="4"/>
  <c r="G59" i="4"/>
  <c r="G57" i="4"/>
  <c r="H201" i="2"/>
  <c r="H104" i="2" s="1"/>
  <c r="H203" i="2"/>
  <c r="H195" i="3" s="1"/>
  <c r="G33" i="3"/>
  <c r="H84" i="4" s="1"/>
  <c r="G196" i="3"/>
  <c r="G197" i="3" s="1"/>
  <c r="G162" i="3"/>
  <c r="G172" i="2"/>
  <c r="H73" i="2"/>
  <c r="I73" i="2" s="1"/>
  <c r="J73" i="2" s="1"/>
  <c r="K73" i="2" s="1"/>
  <c r="H172" i="3"/>
  <c r="H185" i="3" s="1"/>
  <c r="H164" i="2"/>
  <c r="H161" i="3" s="1"/>
  <c r="I208" i="3"/>
  <c r="G72" i="3"/>
  <c r="H71" i="3"/>
  <c r="H170" i="2"/>
  <c r="H163" i="3" s="1"/>
  <c r="G55" i="2"/>
  <c r="G56" i="2" s="1"/>
  <c r="G59" i="3" s="1"/>
  <c r="G101" i="3"/>
  <c r="I190" i="2"/>
  <c r="I69" i="3" s="1"/>
  <c r="I153" i="2"/>
  <c r="I60" i="2"/>
  <c r="I58" i="3" s="1"/>
  <c r="I186" i="2"/>
  <c r="I75" i="3" s="1"/>
  <c r="I182" i="2"/>
  <c r="I74" i="3" s="1"/>
  <c r="H76" i="3"/>
  <c r="H17" i="3"/>
  <c r="H23" i="3" s="1"/>
  <c r="H64" i="2"/>
  <c r="H57" i="3" s="1"/>
  <c r="H169" i="2"/>
  <c r="H165" i="3" s="1"/>
  <c r="H67" i="3"/>
  <c r="H165" i="2"/>
  <c r="H160" i="3" s="1"/>
  <c r="H51" i="3"/>
  <c r="H162" i="2"/>
  <c r="H158" i="3" s="1"/>
  <c r="I46" i="3"/>
  <c r="J18" i="4" s="1"/>
  <c r="I133" i="2"/>
  <c r="I134" i="2" s="1"/>
  <c r="I49" i="3" s="1"/>
  <c r="I177" i="2"/>
  <c r="I178" i="2" s="1"/>
  <c r="I48" i="3" s="1"/>
  <c r="G166" i="2"/>
  <c r="H163" i="2"/>
  <c r="H159" i="3" s="1"/>
  <c r="H171" i="2"/>
  <c r="H164" i="3" s="1"/>
  <c r="H168" i="2"/>
  <c r="H162" i="3" s="1"/>
  <c r="I143" i="2"/>
  <c r="I144" i="2" s="1"/>
  <c r="I66" i="3" s="1"/>
  <c r="I148" i="2"/>
  <c r="I149" i="2" s="1"/>
  <c r="I157" i="2"/>
  <c r="I158" i="2" s="1"/>
  <c r="I68" i="3" s="1"/>
  <c r="I138" i="2"/>
  <c r="I139" i="2" s="1"/>
  <c r="I123" i="2"/>
  <c r="I124" i="2" s="1"/>
  <c r="I128" i="2"/>
  <c r="I129" i="2" s="1"/>
  <c r="G102" i="2"/>
  <c r="I207" i="2"/>
  <c r="I208" i="2" s="1"/>
  <c r="I34" i="3" s="1"/>
  <c r="I101" i="2"/>
  <c r="I54" i="2"/>
  <c r="I94" i="2" s="1"/>
  <c r="J94" i="2" s="1"/>
  <c r="K94" i="2" s="1"/>
  <c r="I200" i="2"/>
  <c r="H83" i="2"/>
  <c r="I83" i="2" s="1"/>
  <c r="J83" i="2" s="1"/>
  <c r="K83" i="2" s="1"/>
  <c r="I92" i="2"/>
  <c r="H97" i="2"/>
  <c r="H82" i="2"/>
  <c r="G87" i="2"/>
  <c r="H72" i="2"/>
  <c r="G77" i="2"/>
  <c r="G91" i="3" s="1"/>
  <c r="H14" i="3"/>
  <c r="I43" i="4" s="1"/>
  <c r="I42" i="2"/>
  <c r="I48" i="2"/>
  <c r="I84" i="2" s="1"/>
  <c r="I13" i="3"/>
  <c r="H37" i="2"/>
  <c r="I22" i="2"/>
  <c r="I25" i="2"/>
  <c r="I18" i="3" s="1"/>
  <c r="I34" i="2"/>
  <c r="I21" i="3" s="1"/>
  <c r="I212" i="2"/>
  <c r="I213" i="2" s="1"/>
  <c r="I35" i="3" s="1"/>
  <c r="I31" i="2"/>
  <c r="I20" i="3" s="1"/>
  <c r="I28" i="2"/>
  <c r="I19" i="3" s="1"/>
  <c r="K15" i="2"/>
  <c r="K13" i="2" s="1"/>
  <c r="K194" i="2" s="1"/>
  <c r="K70" i="3" s="1"/>
  <c r="J13" i="2"/>
  <c r="J194" i="2" s="1"/>
  <c r="J70" i="3" s="1"/>
  <c r="E55" i="4" l="1"/>
  <c r="D88" i="3"/>
  <c r="D154" i="3" s="1"/>
  <c r="D166" i="3" s="1"/>
  <c r="D169" i="3" s="1"/>
  <c r="D199" i="3" s="1"/>
  <c r="D201" i="3" s="1"/>
  <c r="I33" i="4"/>
  <c r="I45" i="4"/>
  <c r="J29" i="4"/>
  <c r="J79" i="4" s="1"/>
  <c r="G63" i="4"/>
  <c r="G65" i="4" s="1"/>
  <c r="G61" i="4"/>
  <c r="I14" i="3"/>
  <c r="J43" i="4" s="1"/>
  <c r="J44" i="4"/>
  <c r="J48" i="4" s="1"/>
  <c r="J52" i="4" s="1"/>
  <c r="J56" i="4" s="1"/>
  <c r="J69" i="4" s="1"/>
  <c r="J73" i="4"/>
  <c r="E59" i="4"/>
  <c r="E57" i="4"/>
  <c r="F63" i="4"/>
  <c r="F65" i="4" s="1"/>
  <c r="F61" i="4"/>
  <c r="H80" i="4"/>
  <c r="H81" i="4" s="1"/>
  <c r="H49" i="4"/>
  <c r="K208" i="3"/>
  <c r="H14" i="4"/>
  <c r="H19" i="4"/>
  <c r="H72" i="3"/>
  <c r="I203" i="2"/>
  <c r="I195" i="3" s="1"/>
  <c r="I201" i="2"/>
  <c r="I104" i="2" s="1"/>
  <c r="H33" i="3"/>
  <c r="I84" i="4" s="1"/>
  <c r="H196" i="3"/>
  <c r="H197" i="3" s="1"/>
  <c r="I71" i="3"/>
  <c r="I170" i="2"/>
  <c r="I163" i="3" s="1"/>
  <c r="I74" i="2"/>
  <c r="J74" i="2" s="1"/>
  <c r="K74" i="2" s="1"/>
  <c r="I172" i="3"/>
  <c r="I185" i="3" s="1"/>
  <c r="H53" i="2"/>
  <c r="I164" i="2"/>
  <c r="I161" i="3" s="1"/>
  <c r="J208" i="3"/>
  <c r="K190" i="2"/>
  <c r="K69" i="3" s="1"/>
  <c r="K153" i="2"/>
  <c r="G49" i="2"/>
  <c r="G50" i="2" s="1"/>
  <c r="G55" i="3" s="1"/>
  <c r="G95" i="3"/>
  <c r="H55" i="2"/>
  <c r="H101" i="3"/>
  <c r="J190" i="2"/>
  <c r="J69" i="3" s="1"/>
  <c r="J153" i="2"/>
  <c r="K60" i="2"/>
  <c r="K58" i="3" s="1"/>
  <c r="K182" i="2"/>
  <c r="K74" i="3" s="1"/>
  <c r="K186" i="2"/>
  <c r="K75" i="3" s="1"/>
  <c r="J60" i="2"/>
  <c r="J58" i="3" s="1"/>
  <c r="J182" i="2"/>
  <c r="J74" i="3" s="1"/>
  <c r="J186" i="2"/>
  <c r="J75" i="3" s="1"/>
  <c r="I76" i="3"/>
  <c r="I169" i="2"/>
  <c r="I165" i="3" s="1"/>
  <c r="I67" i="3"/>
  <c r="I17" i="3"/>
  <c r="I23" i="3" s="1"/>
  <c r="I64" i="2"/>
  <c r="I57" i="3" s="1"/>
  <c r="H166" i="2"/>
  <c r="I162" i="2"/>
  <c r="I158" i="3" s="1"/>
  <c r="J46" i="3"/>
  <c r="K18" i="4" s="1"/>
  <c r="I163" i="2"/>
  <c r="I159" i="3" s="1"/>
  <c r="J47" i="3"/>
  <c r="I165" i="2"/>
  <c r="I160" i="3" s="1"/>
  <c r="I51" i="3"/>
  <c r="J133" i="2"/>
  <c r="J134" i="2" s="1"/>
  <c r="J49" i="3" s="1"/>
  <c r="J177" i="2"/>
  <c r="J178" i="2" s="1"/>
  <c r="J48" i="3" s="1"/>
  <c r="K133" i="2"/>
  <c r="K134" i="2" s="1"/>
  <c r="K49" i="3" s="1"/>
  <c r="K177" i="2"/>
  <c r="K178" i="2" s="1"/>
  <c r="K48" i="3" s="1"/>
  <c r="H172" i="2"/>
  <c r="G103" i="2"/>
  <c r="G105" i="2" s="1"/>
  <c r="I171" i="2"/>
  <c r="I164" i="3" s="1"/>
  <c r="I168" i="2"/>
  <c r="I162" i="3" s="1"/>
  <c r="J143" i="2"/>
  <c r="J144" i="2" s="1"/>
  <c r="J66" i="3" s="1"/>
  <c r="J148" i="2"/>
  <c r="J149" i="2" s="1"/>
  <c r="J157" i="2"/>
  <c r="J158" i="2" s="1"/>
  <c r="J68" i="3" s="1"/>
  <c r="K143" i="2"/>
  <c r="K144" i="2" s="1"/>
  <c r="K66" i="3" s="1"/>
  <c r="K148" i="2"/>
  <c r="K149" i="2" s="1"/>
  <c r="K67" i="3" s="1"/>
  <c r="K157" i="2"/>
  <c r="K158" i="2" s="1"/>
  <c r="K68" i="3" s="1"/>
  <c r="J123" i="2"/>
  <c r="J124" i="2" s="1"/>
  <c r="J128" i="2"/>
  <c r="J129" i="2" s="1"/>
  <c r="J138" i="2"/>
  <c r="J139" i="2" s="1"/>
  <c r="K123" i="2"/>
  <c r="K124" i="2" s="1"/>
  <c r="K128" i="2"/>
  <c r="K129" i="2" s="1"/>
  <c r="K138" i="2"/>
  <c r="K139" i="2" s="1"/>
  <c r="K51" i="3" s="1"/>
  <c r="H102" i="2"/>
  <c r="K207" i="2"/>
  <c r="K208" i="2" s="1"/>
  <c r="K34" i="3" s="1"/>
  <c r="K101" i="2"/>
  <c r="J207" i="2"/>
  <c r="J208" i="2" s="1"/>
  <c r="J34" i="3" s="1"/>
  <c r="J101" i="2"/>
  <c r="J54" i="2"/>
  <c r="J95" i="2" s="1"/>
  <c r="K95" i="2" s="1"/>
  <c r="J200" i="2"/>
  <c r="K54" i="2"/>
  <c r="K96" i="2" s="1"/>
  <c r="K200" i="2"/>
  <c r="G43" i="2"/>
  <c r="G44" i="2" s="1"/>
  <c r="G29" i="3"/>
  <c r="G30" i="3" s="1"/>
  <c r="H51" i="4" s="1"/>
  <c r="J92" i="2"/>
  <c r="I97" i="2"/>
  <c r="J84" i="2"/>
  <c r="K84" i="2" s="1"/>
  <c r="I82" i="2"/>
  <c r="H87" i="2"/>
  <c r="I72" i="2"/>
  <c r="H77" i="2"/>
  <c r="H91" i="3" s="1"/>
  <c r="J48" i="2"/>
  <c r="J85" i="2" s="1"/>
  <c r="J42" i="2"/>
  <c r="J13" i="3"/>
  <c r="K48" i="2"/>
  <c r="K86" i="2" s="1"/>
  <c r="K42" i="2"/>
  <c r="K13" i="3"/>
  <c r="H24" i="3"/>
  <c r="H26" i="3" s="1"/>
  <c r="I37" i="2"/>
  <c r="J212" i="2"/>
  <c r="J213" i="2" s="1"/>
  <c r="J35" i="3" s="1"/>
  <c r="J31" i="2"/>
  <c r="J20" i="3" s="1"/>
  <c r="J25" i="2"/>
  <c r="J18" i="3" s="1"/>
  <c r="J28" i="2"/>
  <c r="J19" i="3" s="1"/>
  <c r="J22" i="2"/>
  <c r="J34" i="2"/>
  <c r="J21" i="3" s="1"/>
  <c r="K31" i="2"/>
  <c r="K20" i="3" s="1"/>
  <c r="K25" i="2"/>
  <c r="K18" i="3" s="1"/>
  <c r="K28" i="2"/>
  <c r="K19" i="3" s="1"/>
  <c r="K34" i="2"/>
  <c r="K21" i="3" s="1"/>
  <c r="K22" i="2"/>
  <c r="K64" i="2" s="1"/>
  <c r="K57" i="3" s="1"/>
  <c r="K212" i="2"/>
  <c r="K213" i="2" s="1"/>
  <c r="K35" i="3" s="1"/>
  <c r="J33" i="4" l="1"/>
  <c r="L29" i="4"/>
  <c r="L79" i="4" s="1"/>
  <c r="I72" i="3"/>
  <c r="H56" i="2"/>
  <c r="H59" i="3" s="1"/>
  <c r="I47" i="4"/>
  <c r="J45" i="4"/>
  <c r="J14" i="3"/>
  <c r="K43" i="4" s="1"/>
  <c r="K44" i="4"/>
  <c r="K48" i="4" s="1"/>
  <c r="K52" i="4" s="1"/>
  <c r="K56" i="4" s="1"/>
  <c r="K69" i="4" s="1"/>
  <c r="K73" i="4"/>
  <c r="K29" i="4"/>
  <c r="K33" i="4" s="1"/>
  <c r="E63" i="4"/>
  <c r="E65" i="4" s="1"/>
  <c r="E61" i="4"/>
  <c r="L44" i="4"/>
  <c r="L48" i="4" s="1"/>
  <c r="L52" i="4" s="1"/>
  <c r="L56" i="4" s="1"/>
  <c r="L69" i="4" s="1"/>
  <c r="L73" i="4"/>
  <c r="I24" i="3"/>
  <c r="H83" i="4"/>
  <c r="H85" i="4" s="1"/>
  <c r="H53" i="4"/>
  <c r="I19" i="4"/>
  <c r="I14" i="4"/>
  <c r="J19" i="4"/>
  <c r="J14" i="4"/>
  <c r="H47" i="2"/>
  <c r="J203" i="2"/>
  <c r="J195" i="3" s="1"/>
  <c r="J201" i="2"/>
  <c r="J104" i="2" s="1"/>
  <c r="K203" i="2"/>
  <c r="K195" i="3" s="1"/>
  <c r="K201" i="2"/>
  <c r="K104" i="2" s="1"/>
  <c r="I33" i="3"/>
  <c r="J84" i="4" s="1"/>
  <c r="I196" i="3"/>
  <c r="I197" i="3" s="1"/>
  <c r="J71" i="3"/>
  <c r="J170" i="2"/>
  <c r="J163" i="3" s="1"/>
  <c r="K164" i="2"/>
  <c r="K161" i="3" s="1"/>
  <c r="J164" i="2"/>
  <c r="J161" i="3" s="1"/>
  <c r="K76" i="2"/>
  <c r="K172" i="3"/>
  <c r="K185" i="3" s="1"/>
  <c r="J75" i="2"/>
  <c r="K75" i="2" s="1"/>
  <c r="J172" i="3"/>
  <c r="J185" i="3" s="1"/>
  <c r="K71" i="3"/>
  <c r="K72" i="3" s="1"/>
  <c r="K170" i="2"/>
  <c r="K163" i="3" s="1"/>
  <c r="I55" i="2"/>
  <c r="I101" i="3"/>
  <c r="H49" i="2"/>
  <c r="H95" i="3"/>
  <c r="J76" i="3"/>
  <c r="K76" i="3"/>
  <c r="H174" i="2"/>
  <c r="J17" i="3"/>
  <c r="J23" i="3" s="1"/>
  <c r="J64" i="2"/>
  <c r="J57" i="3" s="1"/>
  <c r="J169" i="2"/>
  <c r="J165" i="3" s="1"/>
  <c r="J67" i="3"/>
  <c r="I166" i="2"/>
  <c r="J165" i="2"/>
  <c r="J160" i="3" s="1"/>
  <c r="J51" i="3"/>
  <c r="J162" i="2"/>
  <c r="J158" i="3" s="1"/>
  <c r="K46" i="3"/>
  <c r="L18" i="4" s="1"/>
  <c r="J163" i="2"/>
  <c r="J159" i="3" s="1"/>
  <c r="K47" i="3"/>
  <c r="H41" i="2"/>
  <c r="G54" i="3"/>
  <c r="G60" i="3" s="1"/>
  <c r="K169" i="2"/>
  <c r="K165" i="3" s="1"/>
  <c r="K165" i="2"/>
  <c r="K160" i="3" s="1"/>
  <c r="I172" i="2"/>
  <c r="K162" i="2"/>
  <c r="K158" i="3" s="1"/>
  <c r="K163" i="2"/>
  <c r="K159" i="3" s="1"/>
  <c r="K171" i="2"/>
  <c r="K164" i="3" s="1"/>
  <c r="J171" i="2"/>
  <c r="J164" i="3" s="1"/>
  <c r="K168" i="2"/>
  <c r="K162" i="3" s="1"/>
  <c r="J168" i="2"/>
  <c r="J162" i="3" s="1"/>
  <c r="H103" i="2"/>
  <c r="H105" i="2" s="1"/>
  <c r="G36" i="3"/>
  <c r="I102" i="2"/>
  <c r="G106" i="2"/>
  <c r="G38" i="3" s="1"/>
  <c r="H43" i="2"/>
  <c r="H29" i="3"/>
  <c r="H30" i="3" s="1"/>
  <c r="I51" i="4" s="1"/>
  <c r="K92" i="2"/>
  <c r="K97" i="2" s="1"/>
  <c r="J97" i="2"/>
  <c r="K85" i="2"/>
  <c r="J82" i="2"/>
  <c r="I87" i="2"/>
  <c r="J72" i="2"/>
  <c r="I77" i="2"/>
  <c r="I91" i="3" s="1"/>
  <c r="M21" i="3"/>
  <c r="N21" i="3"/>
  <c r="M20" i="3"/>
  <c r="N20" i="3"/>
  <c r="M19" i="3"/>
  <c r="N19" i="3"/>
  <c r="M18" i="3"/>
  <c r="N18" i="3"/>
  <c r="K14" i="3"/>
  <c r="L43" i="4" s="1"/>
  <c r="M13" i="3"/>
  <c r="N13" i="3"/>
  <c r="M35" i="3"/>
  <c r="N35" i="3"/>
  <c r="K37" i="2"/>
  <c r="K17" i="3"/>
  <c r="J37" i="2"/>
  <c r="G39" i="3" l="1"/>
  <c r="G88" i="3" s="1"/>
  <c r="G154" i="3" s="1"/>
  <c r="L33" i="4"/>
  <c r="I53" i="2"/>
  <c r="I56" i="2" s="1"/>
  <c r="I59" i="3" s="1"/>
  <c r="K45" i="4"/>
  <c r="K79" i="4"/>
  <c r="J24" i="3"/>
  <c r="L45" i="4"/>
  <c r="I26" i="3"/>
  <c r="J47" i="4"/>
  <c r="I80" i="4"/>
  <c r="I81" i="4" s="1"/>
  <c r="I49" i="4"/>
  <c r="I83" i="4"/>
  <c r="I85" i="4" s="1"/>
  <c r="I53" i="4"/>
  <c r="L19" i="4"/>
  <c r="L14" i="4"/>
  <c r="H50" i="2"/>
  <c r="I47" i="2" s="1"/>
  <c r="I174" i="2"/>
  <c r="K196" i="3"/>
  <c r="K197" i="3" s="1"/>
  <c r="K33" i="3"/>
  <c r="L84" i="4" s="1"/>
  <c r="J196" i="3"/>
  <c r="J197" i="3" s="1"/>
  <c r="J33" i="3"/>
  <c r="K84" i="4" s="1"/>
  <c r="J72" i="3"/>
  <c r="K55" i="2"/>
  <c r="K101" i="3"/>
  <c r="J55" i="2"/>
  <c r="J101" i="3"/>
  <c r="I49" i="2"/>
  <c r="I95" i="3"/>
  <c r="J166" i="2"/>
  <c r="H44" i="2"/>
  <c r="J172" i="2"/>
  <c r="K172" i="2"/>
  <c r="G107" i="2"/>
  <c r="K166" i="2"/>
  <c r="H106" i="2"/>
  <c r="H38" i="3" s="1"/>
  <c r="J102" i="2"/>
  <c r="H36" i="3"/>
  <c r="K102" i="2"/>
  <c r="I103" i="2"/>
  <c r="I105" i="2" s="1"/>
  <c r="I43" i="2"/>
  <c r="I29" i="3"/>
  <c r="I30" i="3" s="1"/>
  <c r="J51" i="4" s="1"/>
  <c r="K82" i="2"/>
  <c r="K87" i="2" s="1"/>
  <c r="J87" i="2"/>
  <c r="K72" i="2"/>
  <c r="K77" i="2" s="1"/>
  <c r="K91" i="3" s="1"/>
  <c r="J77" i="2"/>
  <c r="J91" i="3" s="1"/>
  <c r="K23" i="3"/>
  <c r="M17" i="3"/>
  <c r="N17" i="3"/>
  <c r="M14" i="3"/>
  <c r="N14" i="3"/>
  <c r="H39" i="3" l="1"/>
  <c r="H88" i="3" s="1"/>
  <c r="H154" i="3" s="1"/>
  <c r="H166" i="3" s="1"/>
  <c r="H169" i="3" s="1"/>
  <c r="H199" i="3" s="1"/>
  <c r="I50" i="2"/>
  <c r="I55" i="3" s="1"/>
  <c r="J26" i="3"/>
  <c r="K47" i="4"/>
  <c r="J80" i="4"/>
  <c r="J81" i="4" s="1"/>
  <c r="J49" i="4"/>
  <c r="N33" i="3"/>
  <c r="G114" i="2"/>
  <c r="G116" i="2" s="1"/>
  <c r="H55" i="4"/>
  <c r="J83" i="4"/>
  <c r="J85" i="4" s="1"/>
  <c r="J53" i="4"/>
  <c r="H55" i="3"/>
  <c r="M33" i="3"/>
  <c r="K19" i="4"/>
  <c r="K14" i="4"/>
  <c r="J53" i="2"/>
  <c r="J56" i="2" s="1"/>
  <c r="J59" i="3" s="1"/>
  <c r="J47" i="2"/>
  <c r="J49" i="2"/>
  <c r="J95" i="3"/>
  <c r="K49" i="2"/>
  <c r="K95" i="3"/>
  <c r="J174" i="2"/>
  <c r="I41" i="2"/>
  <c r="I44" i="2" s="1"/>
  <c r="H54" i="3"/>
  <c r="K174" i="2"/>
  <c r="J103" i="2"/>
  <c r="J105" i="2" s="1"/>
  <c r="J106" i="2" s="1"/>
  <c r="J38" i="3" s="1"/>
  <c r="K103" i="2"/>
  <c r="K105" i="2" s="1"/>
  <c r="K106" i="2" s="1"/>
  <c r="K38" i="3" s="1"/>
  <c r="M38" i="3" s="1"/>
  <c r="H107" i="2"/>
  <c r="I106" i="2"/>
  <c r="I38" i="3" s="1"/>
  <c r="I36" i="3"/>
  <c r="J43" i="2"/>
  <c r="J29" i="3"/>
  <c r="J30" i="3" s="1"/>
  <c r="K51" i="4" s="1"/>
  <c r="K43" i="2"/>
  <c r="K29" i="3"/>
  <c r="K24" i="3"/>
  <c r="M23" i="3"/>
  <c r="N23" i="3"/>
  <c r="I39" i="3" l="1"/>
  <c r="I88" i="3" s="1"/>
  <c r="I154" i="3" s="1"/>
  <c r="I166" i="3" s="1"/>
  <c r="I169" i="3" s="1"/>
  <c r="I199" i="3" s="1"/>
  <c r="G80" i="3"/>
  <c r="H30" i="4" s="1"/>
  <c r="H113" i="2"/>
  <c r="K80" i="4"/>
  <c r="K81" i="4" s="1"/>
  <c r="K49" i="4"/>
  <c r="K26" i="3"/>
  <c r="L47" i="4"/>
  <c r="H60" i="3"/>
  <c r="K83" i="4"/>
  <c r="K85" i="4" s="1"/>
  <c r="K53" i="4"/>
  <c r="H59" i="4"/>
  <c r="H57" i="4"/>
  <c r="H114" i="2"/>
  <c r="I55" i="4"/>
  <c r="K53" i="2"/>
  <c r="K56" i="2" s="1"/>
  <c r="K59" i="3" s="1"/>
  <c r="J50" i="2"/>
  <c r="J41" i="2"/>
  <c r="J44" i="2" s="1"/>
  <c r="I54" i="3"/>
  <c r="I60" i="3" s="1"/>
  <c r="I107" i="2"/>
  <c r="J107" i="2"/>
  <c r="N38" i="3"/>
  <c r="K107" i="2"/>
  <c r="K30" i="3"/>
  <c r="J36" i="3"/>
  <c r="J39" i="3" s="1"/>
  <c r="J88" i="3" s="1"/>
  <c r="M29" i="3"/>
  <c r="N29" i="3"/>
  <c r="G81" i="3" l="1"/>
  <c r="G83" i="3" s="1"/>
  <c r="H37" i="4"/>
  <c r="H31" i="4"/>
  <c r="H116" i="2"/>
  <c r="H80" i="3" s="1"/>
  <c r="L80" i="4"/>
  <c r="L81" i="4" s="1"/>
  <c r="L49" i="4"/>
  <c r="K36" i="3"/>
  <c r="L51" i="4"/>
  <c r="H64" i="4"/>
  <c r="I59" i="4"/>
  <c r="I57" i="4"/>
  <c r="H63" i="4"/>
  <c r="H65" i="4" s="1"/>
  <c r="I114" i="2"/>
  <c r="J55" i="4"/>
  <c r="K47" i="2"/>
  <c r="K50" i="2" s="1"/>
  <c r="K55" i="3" s="1"/>
  <c r="J55" i="3"/>
  <c r="J154" i="3"/>
  <c r="J166" i="3" s="1"/>
  <c r="J169" i="3" s="1"/>
  <c r="J199" i="3" s="1"/>
  <c r="K41" i="2"/>
  <c r="K44" i="2" s="1"/>
  <c r="K54" i="3" s="1"/>
  <c r="J54" i="3"/>
  <c r="M30" i="3"/>
  <c r="N30" i="3"/>
  <c r="M36" i="3"/>
  <c r="N36" i="3"/>
  <c r="K39" i="3" l="1"/>
  <c r="K88" i="3" s="1"/>
  <c r="K154" i="3" s="1"/>
  <c r="K166" i="3" s="1"/>
  <c r="K169" i="3" s="1"/>
  <c r="K199" i="3" s="1"/>
  <c r="I113" i="2"/>
  <c r="J59" i="4"/>
  <c r="J57" i="4"/>
  <c r="J60" i="3"/>
  <c r="K60" i="3"/>
  <c r="I63" i="4"/>
  <c r="H81" i="3"/>
  <c r="H83" i="3" s="1"/>
  <c r="I30" i="4"/>
  <c r="L83" i="4"/>
  <c r="L85" i="4" s="1"/>
  <c r="L53" i="4"/>
  <c r="I116" i="2"/>
  <c r="I80" i="3" s="1"/>
  <c r="J114" i="2"/>
  <c r="K55" i="4"/>
  <c r="L55" i="4" l="1"/>
  <c r="M39" i="3"/>
  <c r="N39" i="3"/>
  <c r="K114" i="2"/>
  <c r="J113" i="2"/>
  <c r="J116" i="2" s="1"/>
  <c r="K113" i="2" s="1"/>
  <c r="K116" i="2" s="1"/>
  <c r="K80" i="3" s="1"/>
  <c r="L59" i="4"/>
  <c r="L57" i="4"/>
  <c r="I37" i="4"/>
  <c r="I31" i="4"/>
  <c r="I81" i="3"/>
  <c r="I83" i="3" s="1"/>
  <c r="J30" i="4"/>
  <c r="K59" i="4"/>
  <c r="K57" i="4"/>
  <c r="J63" i="4"/>
  <c r="G174" i="2"/>
  <c r="G164" i="3"/>
  <c r="J80" i="3" l="1"/>
  <c r="J81" i="3" s="1"/>
  <c r="J83" i="3" s="1"/>
  <c r="G166" i="3"/>
  <c r="G169" i="3" s="1"/>
  <c r="G199" i="3" s="1"/>
  <c r="G201" i="3" s="1"/>
  <c r="K63" i="4"/>
  <c r="J37" i="4"/>
  <c r="J31" i="4"/>
  <c r="I64" i="4"/>
  <c r="I65" i="4" s="1"/>
  <c r="K81" i="3"/>
  <c r="K83" i="3" s="1"/>
  <c r="L30" i="4"/>
  <c r="L63" i="4"/>
  <c r="K30" i="4" l="1"/>
  <c r="H200" i="3"/>
  <c r="H201" i="3" s="1"/>
  <c r="H209" i="3" s="1"/>
  <c r="H207" i="3" s="1"/>
  <c r="H44" i="3" s="1"/>
  <c r="H52" i="3" s="1"/>
  <c r="G209" i="3"/>
  <c r="G207" i="3" s="1"/>
  <c r="G44" i="3" s="1"/>
  <c r="G52" i="3" s="1"/>
  <c r="G62" i="3" s="1"/>
  <c r="J64" i="4"/>
  <c r="J65" i="4" s="1"/>
  <c r="L37" i="4"/>
  <c r="L31" i="4"/>
  <c r="K37" i="4"/>
  <c r="K31" i="4"/>
  <c r="I200" i="3" l="1"/>
  <c r="I201" i="3" s="1"/>
  <c r="I209" i="3" s="1"/>
  <c r="I207" i="3" s="1"/>
  <c r="I44" i="3" s="1"/>
  <c r="H17" i="4"/>
  <c r="H20" i="4" s="1"/>
  <c r="H13" i="4"/>
  <c r="H15" i="4" s="1"/>
  <c r="G84" i="3"/>
  <c r="H74" i="4"/>
  <c r="H75" i="4" s="1"/>
  <c r="H34" i="4"/>
  <c r="K64" i="4"/>
  <c r="K65" i="4" s="1"/>
  <c r="L64" i="4"/>
  <c r="L65" i="4" s="1"/>
  <c r="H62" i="3"/>
  <c r="I13" i="4"/>
  <c r="I15" i="4" s="1"/>
  <c r="I17" i="4"/>
  <c r="I20" i="4" s="1"/>
  <c r="I52" i="3"/>
  <c r="J200" i="3"/>
  <c r="J201" i="3" s="1"/>
  <c r="J209" i="3" l="1"/>
  <c r="J207" i="3" s="1"/>
  <c r="J44" i="3" s="1"/>
  <c r="K200" i="3"/>
  <c r="H84" i="3"/>
  <c r="I74" i="4"/>
  <c r="I75" i="4" s="1"/>
  <c r="I34" i="4"/>
  <c r="H38" i="4"/>
  <c r="H35" i="4"/>
  <c r="I62" i="3"/>
  <c r="J17" i="4"/>
  <c r="J20" i="4" s="1"/>
  <c r="J13" i="4"/>
  <c r="J15" i="4" s="1"/>
  <c r="K201" i="3"/>
  <c r="K209" i="3" s="1"/>
  <c r="J52" i="3"/>
  <c r="I84" i="3" l="1"/>
  <c r="J34" i="4"/>
  <c r="J74" i="4"/>
  <c r="J75" i="4" s="1"/>
  <c r="H60" i="4"/>
  <c r="H39" i="4"/>
  <c r="I38" i="4"/>
  <c r="I35" i="4"/>
  <c r="J62" i="3"/>
  <c r="K13" i="4"/>
  <c r="K15" i="4" s="1"/>
  <c r="K17" i="4"/>
  <c r="K20" i="4" s="1"/>
  <c r="J84" i="3" l="1"/>
  <c r="K74" i="4"/>
  <c r="K75" i="4" s="1"/>
  <c r="K34" i="4"/>
  <c r="I60" i="4"/>
  <c r="I39" i="4"/>
  <c r="H70" i="4"/>
  <c r="H71" i="4" s="1"/>
  <c r="H61" i="4"/>
  <c r="J38" i="4"/>
  <c r="J35" i="4"/>
  <c r="K207" i="3"/>
  <c r="K44" i="3" s="1"/>
  <c r="K38" i="4" l="1"/>
  <c r="K35" i="4"/>
  <c r="J60" i="4"/>
  <c r="J39" i="4"/>
  <c r="I70" i="4"/>
  <c r="I71" i="4" s="1"/>
  <c r="I61" i="4"/>
  <c r="K52" i="3"/>
  <c r="J70" i="4" l="1"/>
  <c r="J71" i="4" s="1"/>
  <c r="J61" i="4"/>
  <c r="K60" i="4"/>
  <c r="K39" i="4"/>
  <c r="K62" i="3"/>
  <c r="L13" i="4"/>
  <c r="L15" i="4" s="1"/>
  <c r="L17" i="4"/>
  <c r="L20" i="4" s="1"/>
  <c r="K84" i="3" l="1"/>
  <c r="L74" i="4"/>
  <c r="L75" i="4" s="1"/>
  <c r="L34" i="4"/>
  <c r="K70" i="4"/>
  <c r="K71" i="4" s="1"/>
  <c r="K61" i="4"/>
  <c r="L38" i="4" l="1"/>
  <c r="L35" i="4"/>
  <c r="L60" i="4" l="1"/>
  <c r="L39" i="4"/>
  <c r="L70" i="4" l="1"/>
  <c r="L71" i="4" s="1"/>
  <c r="L6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TUF GAMING</author>
  </authors>
  <commentList>
    <comment ref="B18" authorId="0" shapeId="0" xr:uid="{30DE7B7D-6741-4519-AF3A-17A325FE6EF1}">
      <text>
        <r>
          <rPr>
            <sz val="9"/>
            <color indexed="81"/>
            <rFont val="Tahoma"/>
            <family val="2"/>
          </rPr>
          <t xml:space="preserve">I am starting below the 22% Q1 FY27 reported growth rate and gradually increasing the assumption toward the high-20s as transaction growth, merchant retention and monetisation continue to support Core.
</t>
        </r>
      </text>
    </comment>
    <comment ref="B23" authorId="0" shapeId="0" xr:uid="{FF1131C1-DBB8-4906-AA9F-FF4267F71EA6}">
      <text>
        <r>
          <rPr>
            <sz val="9"/>
            <color indexed="81"/>
            <rFont val="Tahoma"/>
            <family val="2"/>
          </rPr>
          <t xml:space="preserve">Emerging revenue growth is initially forecast at 68%, reflecting the segment's recent 65–70% YoY growth reported by management. Growth is then moderated to 65%, 62% and 60% as the business scales, while remaining above Core growth due to continued expansion of Omnichannel, MarTech and cross-selling opportunities.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TUF GAMING</author>
  </authors>
  <commentList>
    <comment ref="B109" authorId="0" shapeId="0" xr:uid="{DACC00D2-8994-4454-9C19-0868D16D8350}">
      <text>
        <r>
          <rPr>
            <sz val="9"/>
            <color indexed="81"/>
            <rFont val="Tahoma"/>
            <charset val="1"/>
          </rPr>
          <t xml:space="preserve">25% from FY2028E onwards, reflecting a normalized effective corporate tax rate as Shiprocket transitions toward sustained profitability.
</t>
        </r>
      </text>
    </comment>
    <comment ref="B125" authorId="0" shapeId="0" xr:uid="{D0F441A3-BD6C-4265-874B-37C705CA57E1}">
      <text>
        <r>
          <rPr>
            <sz val="9"/>
            <color indexed="81"/>
            <rFont val="Tahoma"/>
            <charset val="1"/>
          </rPr>
          <t xml:space="preserve">Trade receivable days are projected to decline from 50 days to 40 days as Shiprocket scales and improves its collection cycle, billing processes and payment discipline.
</t>
        </r>
      </text>
    </comment>
    <comment ref="B145" authorId="0" shapeId="0" xr:uid="{54D24627-9ECF-4C75-8EA7-A7022B25996C}">
      <text>
        <r>
          <rPr>
            <sz val="9"/>
            <color indexed="81"/>
            <rFont val="Tahoma"/>
            <charset val="1"/>
          </rPr>
          <t xml:space="preserve">The declining assumption reflects stronger operating processes and more efficient settlement of vendor obligations as the business matures.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TUF GAMING</author>
  </authors>
  <commentList>
    <comment ref="B26" authorId="0" shapeId="0" xr:uid="{5D9257B0-2DA6-4FF8-BE39-140B68C80F23}">
      <text>
        <r>
          <rPr>
            <sz val="9"/>
            <color indexed="81"/>
            <rFont val="Tahoma"/>
            <family val="2"/>
          </rPr>
          <t>Assumption based on management's Q1 FY27 Concall, I have continued the operating leverage of EBITDA Margin instead of just considering another 50 &amp; 1380 bps jump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<sst xmlns="http://schemas.openxmlformats.org/spreadsheetml/2006/main" count="631" uniqueCount="409">
  <si>
    <t>Control Sheet</t>
  </si>
  <si>
    <t>Current Case</t>
  </si>
  <si>
    <t xml:space="preserve">  </t>
  </si>
  <si>
    <t>Actual</t>
  </si>
  <si>
    <t>Explicit Forecast Period</t>
  </si>
  <si>
    <t xml:space="preserve"> </t>
  </si>
  <si>
    <t>#</t>
  </si>
  <si>
    <t xml:space="preserve">Revenue </t>
  </si>
  <si>
    <t>Revenue YoY % Growth</t>
  </si>
  <si>
    <t>Down Case</t>
  </si>
  <si>
    <t xml:space="preserve">Selling, General and Administrative (SG&amp;A) Expenses </t>
  </si>
  <si>
    <t xml:space="preserve">Non Current Asset </t>
  </si>
  <si>
    <t xml:space="preserve">Tangible Non-Current Asset </t>
  </si>
  <si>
    <t>Plant, machinery and equipment Growth %</t>
  </si>
  <si>
    <t>Right of use assets Growth %</t>
  </si>
  <si>
    <t>Marginal Tax Rate</t>
  </si>
  <si>
    <t xml:space="preserve">Other Income </t>
  </si>
  <si>
    <t>Other Income</t>
  </si>
  <si>
    <t>Schedule Sheet</t>
  </si>
  <si>
    <t>Sales Schedule</t>
  </si>
  <si>
    <t>Revenue</t>
  </si>
  <si>
    <t>SG&amp;A (Excluding Depreciation and Interest Expenses) Schedule</t>
  </si>
  <si>
    <t>Employee Benefit Expenses</t>
  </si>
  <si>
    <t>Employee Benefit Expenses % Revenue</t>
  </si>
  <si>
    <t>Other Expenses</t>
  </si>
  <si>
    <t>Other Expenses % Revenue</t>
  </si>
  <si>
    <t xml:space="preserve">Total SG&amp;A </t>
  </si>
  <si>
    <t>Non-Current Asset Schedule</t>
  </si>
  <si>
    <t xml:space="preserve">Opening PM&amp;E </t>
  </si>
  <si>
    <t>Add: Capex during the year</t>
  </si>
  <si>
    <t>Less: Depreciation</t>
  </si>
  <si>
    <t>Closing PM&amp;E</t>
  </si>
  <si>
    <t>Right of use assets</t>
  </si>
  <si>
    <t>Addition during the year</t>
  </si>
  <si>
    <t>Closing Right of use assets</t>
  </si>
  <si>
    <t>Financial Assets</t>
  </si>
  <si>
    <t>Other Non-Current Assets</t>
  </si>
  <si>
    <t>Intangible Non Current Asset - Amount Spend</t>
  </si>
  <si>
    <t>Closing Intangible Non-Current Asset</t>
  </si>
  <si>
    <t>Depreciation Schedule</t>
  </si>
  <si>
    <t>Total Depreciation</t>
  </si>
  <si>
    <t>Depreciation Waterfall Schedule (PE&amp;M)</t>
  </si>
  <si>
    <t>Tax Expenses Schedule</t>
  </si>
  <si>
    <t>Less: SG&amp;A Expenses</t>
  </si>
  <si>
    <t>Less: Depreciation and Amortization</t>
  </si>
  <si>
    <t>Less: Interest Expenses</t>
  </si>
  <si>
    <t>Earning before Tax</t>
  </si>
  <si>
    <t>Less: Tax Expenses</t>
  </si>
  <si>
    <t>Net Income</t>
  </si>
  <si>
    <t>Retained Earnings Schedule (Dividends)</t>
  </si>
  <si>
    <t>Retained Earning - Beginning of the year</t>
  </si>
  <si>
    <t>Add: Net Income</t>
  </si>
  <si>
    <t>Less: Dividend Paid</t>
  </si>
  <si>
    <t>Retained Earnings - Ending of year</t>
  </si>
  <si>
    <t>Dividend Payout Rate %</t>
  </si>
  <si>
    <t xml:space="preserve">Working Capital Schedule </t>
  </si>
  <si>
    <t>Trade Receivables</t>
  </si>
  <si>
    <t>Trade Receivables Days</t>
  </si>
  <si>
    <t>Inventory</t>
  </si>
  <si>
    <t>Inventory Days</t>
  </si>
  <si>
    <t>Other Current Asset</t>
  </si>
  <si>
    <t>Other Current Asset % Sales</t>
  </si>
  <si>
    <t>Trade payables</t>
  </si>
  <si>
    <t>Trade payables Days</t>
  </si>
  <si>
    <t>Financial Liability</t>
  </si>
  <si>
    <t>Other Financial Liability</t>
  </si>
  <si>
    <t>Other Financial Liability % Sales</t>
  </si>
  <si>
    <t>Provisions</t>
  </si>
  <si>
    <t>Provisions % Sales</t>
  </si>
  <si>
    <t>Other Current Liabilities</t>
  </si>
  <si>
    <t>Other Current Liabilities % Sales</t>
  </si>
  <si>
    <t>Change In Working Capital</t>
  </si>
  <si>
    <t>Debtors</t>
  </si>
  <si>
    <t>Other Current Assets</t>
  </si>
  <si>
    <t>Total Current Asset</t>
  </si>
  <si>
    <t>Creditors</t>
  </si>
  <si>
    <t>Other Current Liability</t>
  </si>
  <si>
    <t>Total Current Liability</t>
  </si>
  <si>
    <t>Total Change Working Capital</t>
  </si>
  <si>
    <t>Non- Current Financial Liability</t>
  </si>
  <si>
    <t xml:space="preserve">Interest Schedule </t>
  </si>
  <si>
    <t>Other Income % Revenue</t>
  </si>
  <si>
    <t>3 Statement Model</t>
  </si>
  <si>
    <t xml:space="preserve">                  CAGR</t>
  </si>
  <si>
    <t>5 Years</t>
  </si>
  <si>
    <t>3 Years</t>
  </si>
  <si>
    <t>Income Statement</t>
  </si>
  <si>
    <t>Gross Profit</t>
  </si>
  <si>
    <t>Less: SG&amp;A (Excluding Depreciation and Amortization)</t>
  </si>
  <si>
    <t>Total SG&amp;A</t>
  </si>
  <si>
    <t>EBITDA</t>
  </si>
  <si>
    <t xml:space="preserve">EBITDA Margin </t>
  </si>
  <si>
    <t>Depreciation</t>
  </si>
  <si>
    <t>EBIT</t>
  </si>
  <si>
    <t>Finance Cost</t>
  </si>
  <si>
    <t>Add: Other Income</t>
  </si>
  <si>
    <t xml:space="preserve">EBT </t>
  </si>
  <si>
    <t>Less: Taxes</t>
  </si>
  <si>
    <t>Balance Sheet</t>
  </si>
  <si>
    <t>Assets</t>
  </si>
  <si>
    <t>Cash</t>
  </si>
  <si>
    <t>Bank balances other than cash and cash equivalents, above</t>
  </si>
  <si>
    <t>Financial Current Assets</t>
  </si>
  <si>
    <t>Total Current Assests</t>
  </si>
  <si>
    <t>Plant, Machinery and Equipment</t>
  </si>
  <si>
    <t>Total Non-Current Assests</t>
  </si>
  <si>
    <t>Total Assets</t>
  </si>
  <si>
    <t>Liability and Shareholder's Equity</t>
  </si>
  <si>
    <t>Trade Payables</t>
  </si>
  <si>
    <t>Provision</t>
  </si>
  <si>
    <t>Other financial liabilities</t>
  </si>
  <si>
    <t>Financial liabilities</t>
  </si>
  <si>
    <t>Total Non-Current Liability</t>
  </si>
  <si>
    <t>Equity share capital</t>
  </si>
  <si>
    <t>Other equity</t>
  </si>
  <si>
    <t>Total Shareholder's Equity</t>
  </si>
  <si>
    <t>Total Liability and Shareholder's Equity</t>
  </si>
  <si>
    <t>Cash Flow Statement</t>
  </si>
  <si>
    <t>Depreciation &amp; Amortization</t>
  </si>
  <si>
    <t>Depreciation and amortisation expense</t>
  </si>
  <si>
    <t>Interest Expenses</t>
  </si>
  <si>
    <t>Interest on lease liabilities</t>
  </si>
  <si>
    <t>Employee stock option scheme expense (included in salaries, wages and bonus)</t>
  </si>
  <si>
    <t>Share based payments expense</t>
  </si>
  <si>
    <t>Exceptional items</t>
  </si>
  <si>
    <t>Redelivery &amp; Overhaul</t>
  </si>
  <si>
    <t>Redelivery and overhaul cost</t>
  </si>
  <si>
    <t>Operating profit before working capital changes</t>
  </si>
  <si>
    <t>Adjustments for:</t>
  </si>
  <si>
    <t>Income tax paid (net)</t>
  </si>
  <si>
    <t>Net cash generated from operating activities</t>
  </si>
  <si>
    <t>Cash flows from investing activities</t>
  </si>
  <si>
    <t>Cash flows from financing activities</t>
  </si>
  <si>
    <t>Ratio Analysis</t>
  </si>
  <si>
    <t xml:space="preserve">                                                              Actual</t>
  </si>
  <si>
    <t>Liquidity Ratio</t>
  </si>
  <si>
    <t>Current Assets</t>
  </si>
  <si>
    <t>Current Liability</t>
  </si>
  <si>
    <t>Quick Ratio (Acid Ratio)</t>
  </si>
  <si>
    <t>Debtor Days</t>
  </si>
  <si>
    <t>Creditor Days</t>
  </si>
  <si>
    <t>Cash Conversion Days</t>
  </si>
  <si>
    <t>Leverage Ratios (Solvency Ratios)</t>
  </si>
  <si>
    <t>Total Debt</t>
  </si>
  <si>
    <t>Total Equity</t>
  </si>
  <si>
    <t>Debt to Equity</t>
  </si>
  <si>
    <t>Debt to Assets Ratio</t>
  </si>
  <si>
    <t>Equity Ratio</t>
  </si>
  <si>
    <t>Profitability/Margin Ratios</t>
  </si>
  <si>
    <t>Total Sales</t>
  </si>
  <si>
    <t>Gross Margin Ratios</t>
  </si>
  <si>
    <t>EBITDA Margin Ratios</t>
  </si>
  <si>
    <t>EBIT Margin Ratios</t>
  </si>
  <si>
    <t>Net Profit Margin</t>
  </si>
  <si>
    <t>Net Profit</t>
  </si>
  <si>
    <t>Return on Assets</t>
  </si>
  <si>
    <t>Return on Equity</t>
  </si>
  <si>
    <t>Efficiency Ratios</t>
  </si>
  <si>
    <t>Revenue (Sales)</t>
  </si>
  <si>
    <t>Assets Turnover Ratios</t>
  </si>
  <si>
    <t>Change In Revenue</t>
  </si>
  <si>
    <t>Change In Total Assets</t>
  </si>
  <si>
    <t>Reinvestment Ratios</t>
  </si>
  <si>
    <t>Coverage Ratios</t>
  </si>
  <si>
    <t>Debt to EBITDA Coverage Ratio</t>
  </si>
  <si>
    <t>Interest Coverage Ratio</t>
  </si>
  <si>
    <t>ASSETS</t>
  </si>
  <si>
    <t>Non-current assets</t>
  </si>
  <si>
    <t>Property, plant and equipment</t>
  </si>
  <si>
    <t>Goodwill</t>
  </si>
  <si>
    <t>Other intangible assets</t>
  </si>
  <si>
    <t>Right-of-use assets</t>
  </si>
  <si>
    <t>Investments accounted for using equity method</t>
  </si>
  <si>
    <t>Other non-current assets</t>
  </si>
  <si>
    <t>Total non-current assets</t>
  </si>
  <si>
    <t>Current assets</t>
  </si>
  <si>
    <t>Inventories</t>
  </si>
  <si>
    <t>Current tax assets (net)</t>
  </si>
  <si>
    <t>Other current assets</t>
  </si>
  <si>
    <t>Total current assets</t>
  </si>
  <si>
    <t>Total assets</t>
  </si>
  <si>
    <t>EQUITY AND LIABILITIES</t>
  </si>
  <si>
    <t>Instruments entirely equity in nature</t>
  </si>
  <si>
    <t>Non-controlling interests</t>
  </si>
  <si>
    <t>Total equity</t>
  </si>
  <si>
    <t>Non-current liabilities</t>
  </si>
  <si>
    <t>Total non-current liabilities</t>
  </si>
  <si>
    <t>Current liabilities</t>
  </si>
  <si>
    <t>Trade payables — dues of micro enterprises and small enterprises</t>
  </si>
  <si>
    <t>Trade payables — dues of creditors other than micro enterprises and small enterprises</t>
  </si>
  <si>
    <t>Other current liabilities</t>
  </si>
  <si>
    <t>Total current liabilities</t>
  </si>
  <si>
    <t>Total equity and liabilities</t>
  </si>
  <si>
    <t>INCOME</t>
  </si>
  <si>
    <t>Revenue from Operations</t>
  </si>
  <si>
    <t>Other income</t>
  </si>
  <si>
    <t>Total income (I)</t>
  </si>
  <si>
    <t>EXPENSES</t>
  </si>
  <si>
    <t>Cost of Merchant Solutions</t>
  </si>
  <si>
    <t>Purchase of traded goods</t>
  </si>
  <si>
    <t>Changes in inventories of traded goods</t>
  </si>
  <si>
    <t>Employee benefits expense</t>
  </si>
  <si>
    <t>Finance cost</t>
  </si>
  <si>
    <t>Other expenses</t>
  </si>
  <si>
    <t>Total Expenses (II)</t>
  </si>
  <si>
    <t>Restated Loss before exceptional items, share of loss of an associate and tax (III=I-II)</t>
  </si>
  <si>
    <t>Restated Loss before share of loss of an associate and tax</t>
  </si>
  <si>
    <t>Share of loss of an associate</t>
  </si>
  <si>
    <t>Restated Loss before tax</t>
  </si>
  <si>
    <t>Current tax</t>
  </si>
  <si>
    <t>Deferred tax</t>
  </si>
  <si>
    <t>Total Tax Expense (VIII)</t>
  </si>
  <si>
    <t>Restated Loss for the year (IX=VI-VIII)</t>
  </si>
  <si>
    <t>OTHER COMPREHENSIVE INCOME</t>
  </si>
  <si>
    <t>(a) Items that will not be reclassified to profit or loss in subsequent years:</t>
  </si>
  <si>
    <t>(i) Remeasurement gain/(loss) on defined benefit plans</t>
  </si>
  <si>
    <t>(ii) Gain on sale of equity &amp; preference instruments carried at FVTOCI</t>
  </si>
  <si>
    <t>(iii) Changes in fair value of equity &amp; preference instruments carried at FVTOCI</t>
  </si>
  <si>
    <t>(iv) Income tax relating to above</t>
  </si>
  <si>
    <t>(b) Items that will be reclassified to profit or loss in subsequent years:</t>
  </si>
  <si>
    <t>(i) Exchange differences on translating the financial statements of foreign operations</t>
  </si>
  <si>
    <t>(ii) Income tax relating to above</t>
  </si>
  <si>
    <t>Total Restated Other Comprehensive Loss for the year (X=a+b)</t>
  </si>
  <si>
    <t>Restated Total comprehensive loss (XI=X+IX)</t>
  </si>
  <si>
    <t>ATTRIBUTION</t>
  </si>
  <si>
    <t>Restated Loss attributable to: Equity holders of the parent</t>
  </si>
  <si>
    <t>Restated Other comprehensive Loss attributable to: Equity holders of the parent</t>
  </si>
  <si>
    <t>Restated Total Comprehensive Loss attributable to: Equity holders of the parent</t>
  </si>
  <si>
    <t>Restated Loss per equity share (Face value of Rs.10 each) — Basic (in Rs.)</t>
  </si>
  <si>
    <t>Restated Loss per equity share (Face value of Rs.10 each) — Diluted (in Rs.)</t>
  </si>
  <si>
    <t>A) Operating Activities</t>
  </si>
  <si>
    <t>Adjustments to reconcile Restated Loss before tax to net cash flows:</t>
  </si>
  <si>
    <t>Depreciation of Property, plant and equipment</t>
  </si>
  <si>
    <t>Impairment in value of Goodwill</t>
  </si>
  <si>
    <t>Amortisation of Intangible assets</t>
  </si>
  <si>
    <t>Depreciation of right-of-use assets</t>
  </si>
  <si>
    <t>Provision for Doubtful Debts (net)</t>
  </si>
  <si>
    <t>Provision for Doubtful Recoverables (net)</t>
  </si>
  <si>
    <t>Recoverables written off</t>
  </si>
  <si>
    <t>Net foreign exchange differences (unrealised)</t>
  </si>
  <si>
    <t>Share based payment expense</t>
  </si>
  <si>
    <t>Interest expense on Bank Overdraft</t>
  </si>
  <si>
    <t>Fair value loss/(gain) on Investment at fair value through profit or loss</t>
  </si>
  <si>
    <t>Gain on sale of financial instruments at fair value through profit or loss</t>
  </si>
  <si>
    <t>Loss/(Profit) on sale of Property, plant and equipment</t>
  </si>
  <si>
    <t>Property, plant and equipment written off</t>
  </si>
  <si>
    <t>Provision for Default Loss</t>
  </si>
  <si>
    <t>Gain on modification/termination of lease contracts</t>
  </si>
  <si>
    <t>Interest income on Loan to Others</t>
  </si>
  <si>
    <t>Interest income on Bank Deposits</t>
  </si>
  <si>
    <t>Interest income on Income tax refund</t>
  </si>
  <si>
    <t>Interest income on unwinding of discount on security deposits paid</t>
  </si>
  <si>
    <t>Operating cash flow before working capital changes</t>
  </si>
  <si>
    <t>Movements in working capital:</t>
  </si>
  <si>
    <t>(Increase) in Inventories</t>
  </si>
  <si>
    <t>(Increase) in Trade receivables</t>
  </si>
  <si>
    <t>(Increase) in Other financial assets</t>
  </si>
  <si>
    <t>(Increase) in Other Assets</t>
  </si>
  <si>
    <t>Increase in Trade Payables</t>
  </si>
  <si>
    <t>Increase/(Decrease) in Other financial liabilities</t>
  </si>
  <si>
    <t>Increase in Other liabilities</t>
  </si>
  <si>
    <t>Increase in Provisions</t>
  </si>
  <si>
    <t>Cash flow from/(used in) Operations</t>
  </si>
  <si>
    <t>Income taxes paid (net of refund)</t>
  </si>
  <si>
    <t>Net cash flows from/(used in) Operating activities (A)</t>
  </si>
  <si>
    <t>B) Investing Activities</t>
  </si>
  <si>
    <t>Purchase of property, plant and equipment (including other intangible assets and capital advances)</t>
  </si>
  <si>
    <t>Proceeds from sale of property, plant and equipment (including other intangible assets)</t>
  </si>
  <si>
    <t>Proceeds from sale of Other Investments</t>
  </si>
  <si>
    <t>Payment towards acquisition of Other Investments</t>
  </si>
  <si>
    <t>Proceeds from sale of Mutual Fund units</t>
  </si>
  <si>
    <t>Investment in Mutual Fund units</t>
  </si>
  <si>
    <t>Interest Received on Loan to Others</t>
  </si>
  <si>
    <t>Interest Received on Bank Deposits</t>
  </si>
  <si>
    <t>Redemption of Bank deposits (having original maturity of more than 3 months)</t>
  </si>
  <si>
    <t>Investment in Bank deposits (having original maturity of more than 3 months)</t>
  </si>
  <si>
    <t>Net cash flows from/(used in) Investing Activities (B)</t>
  </si>
  <si>
    <t>C) Financing Activities</t>
  </si>
  <si>
    <t>Proceeds from issue of Instruments entirely equity in nature</t>
  </si>
  <si>
    <t>Proceeds from issue of Equity shares</t>
  </si>
  <si>
    <t>Proceeds from Securities premium (net off transaction cost) on issue of Instruments entirely equity in nature</t>
  </si>
  <si>
    <t>Proceeds from Securities premium on issue of Equity shares</t>
  </si>
  <si>
    <t>Repayment of principal portion of lease liabilities</t>
  </si>
  <si>
    <t>Interest Paid on lease liabilities</t>
  </si>
  <si>
    <t>Interest Paid on Bank overdraft</t>
  </si>
  <si>
    <t>Net cash flows from/(used in) Financing Activities (C)</t>
  </si>
  <si>
    <t>Net increase/(decrease) in cash and cash equivalents (A+B+C)</t>
  </si>
  <si>
    <t>Net Cash and cash equivalents at the beginning of the year</t>
  </si>
  <si>
    <t>Net Cash and cash equivalents at the end of year</t>
  </si>
  <si>
    <t>For the purpose of the statement of cash flows, Components of cash and cash equivalents comprise of:</t>
  </si>
  <si>
    <t>With banks — on current account</t>
  </si>
  <si>
    <t>With banks — on current account for Amount payable, collected on behalf of the customers</t>
  </si>
  <si>
    <t>Deposits with original maturity of less than three months</t>
  </si>
  <si>
    <t>Net Cash and cash equivalents for the purposes of Statement of Cash flows</t>
  </si>
  <si>
    <t>Particulars</t>
  </si>
  <si>
    <t xml:space="preserve">Financial Assets </t>
  </si>
  <si>
    <t>Investments</t>
  </si>
  <si>
    <t>Trade receivables</t>
  </si>
  <si>
    <t>Cash and cash equivalents</t>
  </si>
  <si>
    <t>Bank balances other than above</t>
  </si>
  <si>
    <t>Loans</t>
  </si>
  <si>
    <t xml:space="preserve">Other </t>
  </si>
  <si>
    <t>Financial Liabilities</t>
  </si>
  <si>
    <t>Lease liabilities</t>
  </si>
  <si>
    <t>Borrowings</t>
  </si>
  <si>
    <t xml:space="preserve"> Lease liabilities</t>
  </si>
  <si>
    <t>TAX EXPENSES</t>
  </si>
  <si>
    <t xml:space="preserve">Impairment of intangible assets </t>
  </si>
  <si>
    <t xml:space="preserve">Provision for impairment of Amount Recoverable </t>
  </si>
  <si>
    <t xml:space="preserve">Profit on sale of subsidiary </t>
  </si>
  <si>
    <t xml:space="preserve">Proceeds from sale of subsidiary </t>
  </si>
  <si>
    <t xml:space="preserve">Payment towards acquisition of Non-controlling interest </t>
  </si>
  <si>
    <t xml:space="preserve">Investment in Loan to Others </t>
  </si>
  <si>
    <t xml:space="preserve">Repayment received from Loan to Others </t>
  </si>
  <si>
    <t xml:space="preserve">Payment on settlement of Share Warrants </t>
  </si>
  <si>
    <t xml:space="preserve">Cash and cash equivalents </t>
  </si>
  <si>
    <t xml:space="preserve">Bank Overdraft </t>
  </si>
  <si>
    <t>Shiprocket</t>
  </si>
  <si>
    <t>In INR million unless stated otherwise</t>
  </si>
  <si>
    <t>Assumption Sheet</t>
  </si>
  <si>
    <t>Segment</t>
  </si>
  <si>
    <t>YoY Growth</t>
  </si>
  <si>
    <t>Core</t>
  </si>
  <si>
    <t>Emerging</t>
  </si>
  <si>
    <t>Total</t>
  </si>
  <si>
    <t>EBITDA Margin</t>
  </si>
  <si>
    <t>Core (50 bps)</t>
  </si>
  <si>
    <t>Emerging (1380 bps)</t>
  </si>
  <si>
    <t>Management observation</t>
  </si>
  <si>
    <t>What it means</t>
  </si>
  <si>
    <t>Model assumption it can support</t>
  </si>
  <si>
    <t>Revenue +34%</t>
  </si>
  <si>
    <t>Strong growth</t>
  </si>
  <si>
    <t>Near-term revenue growth</t>
  </si>
  <si>
    <t>Core +22%</t>
  </si>
  <si>
    <t>Core remains strong</t>
  </si>
  <si>
    <t>Core revenue growth</t>
  </si>
  <si>
    <t>Emerging +70%</t>
  </si>
  <si>
    <t>Emerging is scaling rapidly</t>
  </si>
  <si>
    <t>Emerging revenue growth</t>
  </si>
  <si>
    <t>Emerging share 24% → 30%</t>
  </si>
  <si>
    <t>Mix shifting</t>
  </si>
  <si>
    <t>Segment mix</t>
  </si>
  <si>
    <t>Core EBITDA margin 12.8%</t>
  </si>
  <si>
    <t>Core profitable</t>
  </si>
  <si>
    <t>Core EBITDA margin</t>
  </si>
  <si>
    <t>Core margin +50 bps</t>
  </si>
  <si>
    <t>Core efficiency improving</t>
  </si>
  <si>
    <t>Gradual margin expansion</t>
  </si>
  <si>
    <t>Losses narrowing</t>
  </si>
  <si>
    <t>Emerging margin improvement</t>
  </si>
  <si>
    <t>EBITDA/transaction ₹0.22 → ₹1.45</t>
  </si>
  <si>
    <t>Unit economics improving</t>
  </si>
  <si>
    <t>EBITDA/transaction / margin</t>
  </si>
  <si>
    <t>Emerging EBITDA (38%) → (24%)</t>
  </si>
  <si>
    <t>Revenue Growth %</t>
  </si>
  <si>
    <t xml:space="preserve">Core </t>
  </si>
  <si>
    <t>Cost of Merchant Solutions % Revenue</t>
  </si>
  <si>
    <t>Purchase of traded goods % Revenue</t>
  </si>
  <si>
    <t>Changes in inventories of traded goods % Revenue</t>
  </si>
  <si>
    <t>Depreciation Waterfall Schedule (ROU)</t>
  </si>
  <si>
    <t>Amortization Waterfall Schedule (Intangible Assets)</t>
  </si>
  <si>
    <t>Exceptional Items</t>
  </si>
  <si>
    <t>Current Financial Assets</t>
  </si>
  <si>
    <t>Other Currrent Financial Assets</t>
  </si>
  <si>
    <t>Other</t>
  </si>
  <si>
    <t>Investment + Loan</t>
  </si>
  <si>
    <t>Non- Current Financial Liability % Sales</t>
  </si>
  <si>
    <t>Current Financial liabilities</t>
  </si>
  <si>
    <t>Other Current Financial liabilities</t>
  </si>
  <si>
    <t>Provision &amp; Credit Loss</t>
  </si>
  <si>
    <t>Share Based Items</t>
  </si>
  <si>
    <t>Gains / Losses on Asset &amp; Investment Transactions</t>
  </si>
  <si>
    <t>Finance &amp; Investment Income/Expense</t>
  </si>
  <si>
    <t>Other Financial Assets</t>
  </si>
  <si>
    <t>Borrowing</t>
  </si>
  <si>
    <t>Borrowings % Revenue</t>
  </si>
  <si>
    <t>Bank Overdraft</t>
  </si>
  <si>
    <t>Lease Liability</t>
  </si>
  <si>
    <t>Financial Assets % Revenue</t>
  </si>
  <si>
    <t>Base Case</t>
  </si>
  <si>
    <t>Tax Rate</t>
  </si>
  <si>
    <t>Other Non-Current Assets % Revenue</t>
  </si>
  <si>
    <t>Shiprocket Revenue</t>
  </si>
  <si>
    <t>Business Segment</t>
  </si>
  <si>
    <t>Key Components</t>
  </si>
  <si>
    <t>Contribution</t>
  </si>
  <si>
    <t>Core Business</t>
  </si>
  <si>
    <t>Domestic shipping + shipping apps</t>
  </si>
  <si>
    <t>Emerging Business</t>
  </si>
  <si>
    <t>Omnichannel, cross-border, checkout &amp; marketing</t>
  </si>
  <si>
    <t>Present</t>
  </si>
  <si>
    <t>Years</t>
  </si>
  <si>
    <t>Evolution</t>
  </si>
  <si>
    <t>Bigfoot Retail Solutions</t>
  </si>
  <si>
    <t>SmartStore / KartRocket</t>
  </si>
  <si>
    <t>Shiprocket launched</t>
  </si>
  <si>
    <t>Integrated e-commerce enablement platform</t>
  </si>
  <si>
    <t>Evolution Period</t>
  </si>
  <si>
    <t>Indian E-commerce Market (USD Billion)</t>
  </si>
  <si>
    <t>Year</t>
  </si>
  <si>
    <t>Valued</t>
  </si>
  <si>
    <t>Less: Amortization</t>
  </si>
  <si>
    <t>SHIPROCKET LIMITED</t>
  </si>
  <si>
    <t>Integrated Financial Model</t>
  </si>
  <si>
    <t>FY2024–FY2026 Historical | FY2027–FY2031 Forecast</t>
  </si>
  <si>
    <r>
      <t>Industry:</t>
    </r>
    <r>
      <rPr>
        <sz val="11"/>
        <color theme="1"/>
        <rFont val="Aptos Narrow"/>
        <family val="2"/>
        <scheme val="minor"/>
      </rPr>
      <t xml:space="preserve"> E-commerce Enablement / Logistics Technology</t>
    </r>
  </si>
  <si>
    <r>
      <t>Model Note:</t>
    </r>
    <r>
      <rPr>
        <sz val="11"/>
        <color rgb="FFCCCCFF"/>
        <rFont val="Aptos Narrow"/>
        <family val="2"/>
        <scheme val="minor"/>
      </rPr>
      <t xml:space="preserve"> Historical financials are based on publicly available company filings. Forecasts represent analyst assumptions and are intended for academic/case-study purposes only.</t>
    </r>
  </si>
  <si>
    <t>By: Sneha Acharya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</si>
</sst>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&quot;FY&quot;0"/>
    <numFmt numFmtId="165" formatCode="0.0%;\(0.0%\);\-"/>
    <numFmt numFmtId="166" formatCode="0.0%"/>
    <numFmt numFmtId="167" formatCode="_ [$₹-439]* #,##0.00_ ;_ [$₹-439]* \-#,##0.00_ ;_ [$₹-439]* &quot;-&quot;??_ ;_ @_ "/>
    <numFmt numFmtId="168" formatCode="&quot;Useful Life -&quot;\ 0\ &quot;Years&quot;"/>
    <numFmt numFmtId="169" formatCode="#,##0.00;\(#,##0.00\);\-"/>
    <numFmt numFmtId="170" formatCode="0\ &quot;Days&quot;"/>
    <numFmt numFmtId="171" formatCode="_ [$₹-439]* #,##0_ ;_ [$₹-439]* \-#,##0_ ;_ [$₹-439]* &quot;-&quot;??_ ;_ @_ "/>
    <numFmt numFmtId="172" formatCode="#,##0.00;\(#,##0.00\)"/>
    <numFmt numFmtId="173" formatCode="#,##0;\(#,##0\)"/>
    <numFmt numFmtId="174" formatCode="\₹#,##0;\(\₹#,##0\)"/>
    <numFmt numFmtId="175" formatCode="0.00000000000"/>
    <numFmt numFmtId="176" formatCode="0.0&quot;x&quot;"/>
    <numFmt numFmtId="177" formatCode="#,##0.0&quot;x&quot;;\(#,##0.0&quot;x&quot;\)"/>
    <numFmt numFmtId="178" formatCode="&quot;FY&quot;0&quot;A&quot;"/>
    <numFmt numFmtId="179" formatCode="&quot;FY&quot;0&quot;E&quot;"/>
    <numFmt numFmtId="180" formatCode="#,##0.0_);\(#,##0.0\)"/>
    <numFmt numFmtId="181" formatCode="_(* #,##0.0000000000000_);_(* \(#,##0.0000000000000\);_(* &quot;-&quot;??_);_(@_)"/>
    <numFmt numFmtId="182" formatCode="0.0&quot;x&quot;;\(0.0&quot;x&quot;\)"/>
    <numFmt numFmtId="183" formatCode="0&quot;A&quot;"/>
    <numFmt numFmtId="184" formatCode="0&quot;E&quot;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i/>
      <sz val="11"/>
      <color theme="0" tint="-0.1499984740745262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6"/>
      <color rgb="FF6600CC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11"/>
      <color theme="0" tint="-0.34998626667073579"/>
      <name val="Aptos Narrow"/>
      <family val="2"/>
      <scheme val="minor"/>
    </font>
    <font>
      <sz val="9"/>
      <color indexed="81"/>
      <name val="Tahoma"/>
      <charset val="1"/>
    </font>
    <font>
      <b/>
      <sz val="24"/>
      <color rgb="FF6600CC"/>
      <name val="Aptos Narrow"/>
      <family val="2"/>
      <scheme val="minor"/>
    </font>
    <font>
      <b/>
      <sz val="20"/>
      <color rgb="FF6600CC"/>
      <name val="Aptos Narrow"/>
      <family val="2"/>
      <scheme val="minor"/>
    </font>
    <font>
      <b/>
      <sz val="11"/>
      <color rgb="FFCCCCFF"/>
      <name val="Aptos Narrow"/>
      <family val="2"/>
      <scheme val="minor"/>
    </font>
    <font>
      <sz val="11"/>
      <color rgb="FFCCCC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6600CC"/>
        <bgColor indexed="64"/>
      </patternFill>
    </fill>
    <fill>
      <patternFill patternType="solid">
        <fgColor rgb="FFCCCCFF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8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164" fontId="3" fillId="0" borderId="0" xfId="0" applyNumberFormat="1" applyFont="1"/>
    <xf numFmtId="0" fontId="0" fillId="0" borderId="1" xfId="0" applyBorder="1"/>
    <xf numFmtId="0" fontId="0" fillId="2" borderId="0" xfId="0" applyFill="1"/>
    <xf numFmtId="0" fontId="6" fillId="0" borderId="2" xfId="0" applyFont="1" applyBorder="1"/>
    <xf numFmtId="0" fontId="0" fillId="0" borderId="2" xfId="0" applyBorder="1"/>
    <xf numFmtId="165" fontId="7" fillId="0" borderId="2" xfId="2" applyNumberFormat="1" applyFont="1" applyBorder="1"/>
    <xf numFmtId="9" fontId="7" fillId="0" borderId="2" xfId="2" applyFont="1" applyBorder="1"/>
    <xf numFmtId="166" fontId="6" fillId="0" borderId="2" xfId="2" applyNumberFormat="1" applyFont="1" applyBorder="1"/>
    <xf numFmtId="0" fontId="3" fillId="0" borderId="2" xfId="0" applyFont="1" applyBorder="1"/>
    <xf numFmtId="166" fontId="3" fillId="0" borderId="2" xfId="2" applyNumberFormat="1" applyFont="1" applyBorder="1"/>
    <xf numFmtId="0" fontId="3" fillId="0" borderId="3" xfId="0" applyFont="1" applyBorder="1"/>
    <xf numFmtId="0" fontId="0" fillId="0" borderId="3" xfId="0" applyBorder="1"/>
    <xf numFmtId="166" fontId="3" fillId="0" borderId="3" xfId="2" applyNumberFormat="1" applyFont="1" applyBorder="1"/>
    <xf numFmtId="166" fontId="3" fillId="0" borderId="0" xfId="2" applyNumberFormat="1" applyFont="1" applyBorder="1"/>
    <xf numFmtId="0" fontId="5" fillId="2" borderId="0" xfId="0" applyFont="1" applyFill="1"/>
    <xf numFmtId="0" fontId="2" fillId="2" borderId="0" xfId="0" applyFont="1" applyFill="1"/>
    <xf numFmtId="166" fontId="6" fillId="0" borderId="2" xfId="0" applyNumberFormat="1" applyFont="1" applyBorder="1"/>
    <xf numFmtId="0" fontId="3" fillId="0" borderId="0" xfId="0" applyFont="1"/>
    <xf numFmtId="0" fontId="3" fillId="2" borderId="0" xfId="0" applyFont="1" applyFill="1"/>
    <xf numFmtId="164" fontId="8" fillId="0" borderId="0" xfId="0" applyNumberFormat="1" applyFont="1"/>
    <xf numFmtId="43" fontId="3" fillId="0" borderId="0" xfId="0" applyNumberFormat="1" applyFont="1"/>
    <xf numFmtId="43" fontId="9" fillId="0" borderId="0" xfId="0" applyNumberFormat="1" applyFont="1"/>
    <xf numFmtId="43" fontId="0" fillId="0" borderId="0" xfId="0" applyNumberFormat="1"/>
    <xf numFmtId="166" fontId="6" fillId="0" borderId="0" xfId="2" applyNumberFormat="1" applyFont="1" applyBorder="1"/>
    <xf numFmtId="166" fontId="0" fillId="0" borderId="0" xfId="2" applyNumberFormat="1" applyFont="1"/>
    <xf numFmtId="0" fontId="3" fillId="0" borderId="4" xfId="0" applyFont="1" applyBorder="1"/>
    <xf numFmtId="166" fontId="0" fillId="0" borderId="0" xfId="0" applyNumberFormat="1"/>
    <xf numFmtId="0" fontId="3" fillId="0" borderId="5" xfId="0" applyFont="1" applyBorder="1"/>
    <xf numFmtId="0" fontId="0" fillId="0" borderId="5" xfId="0" applyBorder="1"/>
    <xf numFmtId="43" fontId="3" fillId="0" borderId="5" xfId="0" applyNumberFormat="1" applyFont="1" applyBorder="1"/>
    <xf numFmtId="0" fontId="10" fillId="2" borderId="0" xfId="0" applyFont="1" applyFill="1"/>
    <xf numFmtId="0" fontId="11" fillId="2" borderId="0" xfId="0" applyFont="1" applyFill="1"/>
    <xf numFmtId="43" fontId="0" fillId="2" borderId="0" xfId="0" applyNumberFormat="1" applyFill="1"/>
    <xf numFmtId="43" fontId="12" fillId="2" borderId="0" xfId="1" applyFont="1" applyFill="1"/>
    <xf numFmtId="43" fontId="12" fillId="2" borderId="0" xfId="0" applyNumberFormat="1" applyFont="1" applyFill="1"/>
    <xf numFmtId="0" fontId="11" fillId="2" borderId="4" xfId="0" applyFont="1" applyFill="1" applyBorder="1"/>
    <xf numFmtId="0" fontId="0" fillId="2" borderId="4" xfId="0" applyFill="1" applyBorder="1"/>
    <xf numFmtId="43" fontId="0" fillId="2" borderId="4" xfId="0" applyNumberFormat="1" applyFill="1" applyBorder="1"/>
    <xf numFmtId="43" fontId="12" fillId="2" borderId="4" xfId="0" applyNumberFormat="1" applyFont="1" applyFill="1" applyBorder="1"/>
    <xf numFmtId="43" fontId="3" fillId="2" borderId="0" xfId="1" applyFont="1" applyFill="1"/>
    <xf numFmtId="43" fontId="3" fillId="2" borderId="0" xfId="0" applyNumberFormat="1" applyFont="1" applyFill="1"/>
    <xf numFmtId="166" fontId="6" fillId="2" borderId="0" xfId="2" applyNumberFormat="1" applyFont="1" applyFill="1"/>
    <xf numFmtId="166" fontId="12" fillId="2" borderId="0" xfId="2" applyNumberFormat="1" applyFont="1" applyFill="1"/>
    <xf numFmtId="0" fontId="0" fillId="3" borderId="0" xfId="0" applyFill="1"/>
    <xf numFmtId="166" fontId="0" fillId="3" borderId="0" xfId="2" applyNumberFormat="1" applyFont="1" applyFill="1"/>
    <xf numFmtId="166" fontId="6" fillId="3" borderId="0" xfId="2" applyNumberFormat="1" applyFont="1" applyFill="1"/>
    <xf numFmtId="166" fontId="0" fillId="2" borderId="0" xfId="2" applyNumberFormat="1" applyFont="1" applyFill="1"/>
    <xf numFmtId="43" fontId="13" fillId="0" borderId="0" xfId="0" applyNumberFormat="1" applyFont="1"/>
    <xf numFmtId="165" fontId="13" fillId="3" borderId="0" xfId="2" applyNumberFormat="1" applyFont="1" applyFill="1"/>
    <xf numFmtId="165" fontId="13" fillId="2" borderId="0" xfId="2" applyNumberFormat="1" applyFont="1" applyFill="1"/>
    <xf numFmtId="166" fontId="13" fillId="2" borderId="0" xfId="2" applyNumberFormat="1" applyFont="1" applyFill="1"/>
    <xf numFmtId="166" fontId="13" fillId="3" borderId="0" xfId="2" applyNumberFormat="1" applyFont="1" applyFill="1"/>
    <xf numFmtId="167" fontId="0" fillId="0" borderId="0" xfId="0" applyNumberFormat="1" applyAlignment="1">
      <alignment horizontal="left" indent="3"/>
    </xf>
    <xf numFmtId="0" fontId="0" fillId="2" borderId="0" xfId="0" applyFill="1" applyAlignment="1">
      <alignment horizontal="left" indent="1"/>
    </xf>
    <xf numFmtId="168" fontId="14" fillId="2" borderId="0" xfId="0" applyNumberFormat="1" applyFont="1" applyFill="1" applyAlignment="1">
      <alignment horizontal="left"/>
    </xf>
    <xf numFmtId="169" fontId="6" fillId="2" borderId="0" xfId="0" applyNumberFormat="1" applyFont="1" applyFill="1" applyAlignment="1">
      <alignment horizontal="right" indent="1"/>
    </xf>
    <xf numFmtId="169" fontId="12" fillId="2" borderId="0" xfId="0" applyNumberFormat="1" applyFont="1" applyFill="1" applyAlignment="1">
      <alignment horizontal="right" indent="1"/>
    </xf>
    <xf numFmtId="0" fontId="16" fillId="0" borderId="0" xfId="0" applyFont="1"/>
    <xf numFmtId="164" fontId="0" fillId="0" borderId="0" xfId="0" applyNumberFormat="1" applyAlignment="1">
      <alignment horizontal="left"/>
    </xf>
    <xf numFmtId="0" fontId="3" fillId="0" borderId="1" xfId="0" applyFont="1" applyBorder="1"/>
    <xf numFmtId="167" fontId="3" fillId="0" borderId="0" xfId="0" applyNumberFormat="1" applyFont="1"/>
    <xf numFmtId="169" fontId="12" fillId="0" borderId="0" xfId="0" applyNumberFormat="1" applyFont="1"/>
    <xf numFmtId="0" fontId="0" fillId="0" borderId="0" xfId="0" applyAlignment="1">
      <alignment horizontal="left" indent="1"/>
    </xf>
    <xf numFmtId="169" fontId="0" fillId="0" borderId="0" xfId="0" applyNumberFormat="1"/>
    <xf numFmtId="43" fontId="12" fillId="0" borderId="4" xfId="0" applyNumberFormat="1" applyFont="1" applyBorder="1"/>
    <xf numFmtId="167" fontId="0" fillId="2" borderId="0" xfId="0" applyNumberFormat="1" applyFill="1" applyAlignment="1">
      <alignment horizontal="left" indent="3"/>
    </xf>
    <xf numFmtId="43" fontId="0" fillId="0" borderId="0" xfId="1" applyFont="1"/>
    <xf numFmtId="43" fontId="3" fillId="0" borderId="1" xfId="0" applyNumberFormat="1" applyFont="1" applyBorder="1"/>
    <xf numFmtId="10" fontId="13" fillId="3" borderId="0" xfId="0" applyNumberFormat="1" applyFont="1" applyFill="1"/>
    <xf numFmtId="10" fontId="6" fillId="3" borderId="0" xfId="0" applyNumberFormat="1" applyFont="1" applyFill="1"/>
    <xf numFmtId="43" fontId="12" fillId="0" borderId="0" xfId="0" applyNumberFormat="1" applyFont="1"/>
    <xf numFmtId="43" fontId="12" fillId="0" borderId="0" xfId="1" applyFont="1"/>
    <xf numFmtId="2" fontId="0" fillId="0" borderId="0" xfId="0" applyNumberFormat="1"/>
    <xf numFmtId="9" fontId="0" fillId="0" borderId="0" xfId="2" applyFont="1"/>
    <xf numFmtId="170" fontId="3" fillId="2" borderId="0" xfId="0" applyNumberFormat="1" applyFont="1" applyFill="1"/>
    <xf numFmtId="166" fontId="3" fillId="2" borderId="0" xfId="2" applyNumberFormat="1" applyFont="1" applyFill="1"/>
    <xf numFmtId="0" fontId="16" fillId="2" borderId="0" xfId="0" applyFont="1" applyFill="1"/>
    <xf numFmtId="43" fontId="12" fillId="2" borderId="0" xfId="0" applyNumberFormat="1" applyFont="1" applyFill="1" applyAlignment="1">
      <alignment horizontal="right"/>
    </xf>
    <xf numFmtId="0" fontId="3" fillId="2" borderId="1" xfId="0" applyFont="1" applyFill="1" applyBorder="1"/>
    <xf numFmtId="166" fontId="3" fillId="2" borderId="0" xfId="2" applyNumberFormat="1" applyFont="1" applyFill="1" applyBorder="1"/>
    <xf numFmtId="171" fontId="3" fillId="0" borderId="0" xfId="0" applyNumberFormat="1" applyFont="1"/>
    <xf numFmtId="43" fontId="0" fillId="2" borderId="0" xfId="1" applyFont="1" applyFill="1"/>
    <xf numFmtId="0" fontId="2" fillId="2" borderId="0" xfId="0" applyFont="1" applyFill="1" applyAlignment="1">
      <alignment horizontal="left" indent="12"/>
    </xf>
    <xf numFmtId="172" fontId="0" fillId="0" borderId="0" xfId="0" applyNumberFormat="1"/>
    <xf numFmtId="172" fontId="12" fillId="0" borderId="0" xfId="0" applyNumberFormat="1" applyFont="1"/>
    <xf numFmtId="0" fontId="15" fillId="2" borderId="0" xfId="0" applyFont="1" applyFill="1"/>
    <xf numFmtId="174" fontId="0" fillId="0" borderId="0" xfId="0" applyNumberFormat="1"/>
    <xf numFmtId="174" fontId="12" fillId="0" borderId="0" xfId="0" applyNumberFormat="1" applyFont="1"/>
    <xf numFmtId="174" fontId="3" fillId="0" borderId="0" xfId="0" applyNumberFormat="1" applyFont="1"/>
    <xf numFmtId="0" fontId="17" fillId="2" borderId="0" xfId="0" applyFont="1" applyFill="1"/>
    <xf numFmtId="175" fontId="0" fillId="0" borderId="0" xfId="0" applyNumberFormat="1"/>
    <xf numFmtId="43" fontId="1" fillId="0" borderId="0" xfId="1" applyFont="1"/>
    <xf numFmtId="43" fontId="3" fillId="0" borderId="0" xfId="1" applyFont="1"/>
    <xf numFmtId="0" fontId="18" fillId="2" borderId="0" xfId="0" applyFont="1" applyFill="1"/>
    <xf numFmtId="0" fontId="18" fillId="4" borderId="0" xfId="0" applyFont="1" applyFill="1"/>
    <xf numFmtId="0" fontId="3" fillId="4" borderId="1" xfId="0" applyFont="1" applyFill="1" applyBorder="1"/>
    <xf numFmtId="43" fontId="3" fillId="0" borderId="1" xfId="1" applyFont="1" applyBorder="1"/>
    <xf numFmtId="0" fontId="0" fillId="4" borderId="0" xfId="0" applyFill="1"/>
    <xf numFmtId="0" fontId="3" fillId="4" borderId="0" xfId="0" applyFont="1" applyFill="1"/>
    <xf numFmtId="176" fontId="3" fillId="0" borderId="1" xfId="0" applyNumberFormat="1" applyFont="1" applyBorder="1"/>
    <xf numFmtId="1" fontId="0" fillId="0" borderId="0" xfId="0" applyNumberFormat="1"/>
    <xf numFmtId="173" fontId="3" fillId="0" borderId="1" xfId="0" applyNumberFormat="1" applyFont="1" applyBorder="1"/>
    <xf numFmtId="9" fontId="19" fillId="0" borderId="0" xfId="2" applyFont="1"/>
    <xf numFmtId="177" fontId="3" fillId="0" borderId="1" xfId="0" applyNumberFormat="1" applyFont="1" applyBorder="1"/>
    <xf numFmtId="9" fontId="19" fillId="0" borderId="0" xfId="2" applyFont="1" applyBorder="1"/>
    <xf numFmtId="0" fontId="0" fillId="0" borderId="4" xfId="0" applyBorder="1"/>
    <xf numFmtId="0" fontId="2" fillId="5" borderId="0" xfId="0" applyFont="1" applyFill="1"/>
    <xf numFmtId="164" fontId="2" fillId="5" borderId="0" xfId="0" applyNumberFormat="1" applyFont="1" applyFill="1"/>
    <xf numFmtId="172" fontId="3" fillId="0" borderId="0" xfId="0" applyNumberFormat="1" applyFont="1"/>
    <xf numFmtId="172" fontId="3" fillId="0" borderId="5" xfId="0" applyNumberFormat="1" applyFont="1" applyBorder="1"/>
    <xf numFmtId="0" fontId="3" fillId="6" borderId="0" xfId="0" applyFont="1" applyFill="1"/>
    <xf numFmtId="0" fontId="0" fillId="6" borderId="0" xfId="0" applyFill="1"/>
    <xf numFmtId="172" fontId="0" fillId="6" borderId="0" xfId="0" applyNumberFormat="1" applyFill="1"/>
    <xf numFmtId="0" fontId="20" fillId="0" borderId="0" xfId="0" applyFont="1"/>
    <xf numFmtId="0" fontId="5" fillId="5" borderId="0" xfId="0" applyFont="1" applyFill="1"/>
    <xf numFmtId="0" fontId="21" fillId="0" borderId="0" xfId="0" applyFont="1"/>
    <xf numFmtId="0" fontId="21" fillId="0" borderId="1" xfId="0" applyFont="1" applyBorder="1"/>
    <xf numFmtId="166" fontId="0" fillId="6" borderId="0" xfId="0" applyNumberFormat="1" applyFill="1"/>
    <xf numFmtId="165" fontId="0" fillId="6" borderId="0" xfId="0" applyNumberFormat="1" applyFill="1"/>
    <xf numFmtId="0" fontId="2" fillId="5" borderId="4" xfId="0" applyFont="1" applyFill="1" applyBorder="1"/>
    <xf numFmtId="178" fontId="2" fillId="5" borderId="4" xfId="0" applyNumberFormat="1" applyFont="1" applyFill="1" applyBorder="1"/>
    <xf numFmtId="179" fontId="2" fillId="5" borderId="4" xfId="0" applyNumberFormat="1" applyFont="1" applyFill="1" applyBorder="1"/>
    <xf numFmtId="0" fontId="0" fillId="6" borderId="0" xfId="0" applyFill="1" applyAlignment="1">
      <alignment vertical="center" wrapText="1"/>
    </xf>
    <xf numFmtId="1" fontId="0" fillId="6" borderId="0" xfId="0" applyNumberFormat="1" applyFill="1" applyAlignment="1">
      <alignment horizontal="right" vertical="center" wrapText="1"/>
    </xf>
    <xf numFmtId="9" fontId="0" fillId="6" borderId="0" xfId="0" applyNumberFormat="1" applyFill="1" applyAlignment="1">
      <alignment horizontal="right" vertical="center" wrapText="1"/>
    </xf>
    <xf numFmtId="0" fontId="0" fillId="6" borderId="0" xfId="0" applyFill="1" applyAlignment="1">
      <alignment horizontal="righ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horizontal="right" vertical="center" wrapText="1"/>
    </xf>
    <xf numFmtId="9" fontId="3" fillId="6" borderId="5" xfId="0" applyNumberFormat="1" applyFont="1" applyFill="1" applyBorder="1" applyAlignment="1">
      <alignment horizontal="righ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/>
    </xf>
    <xf numFmtId="9" fontId="3" fillId="2" borderId="0" xfId="2" applyFont="1" applyFill="1"/>
    <xf numFmtId="39" fontId="3" fillId="2" borderId="0" xfId="0" applyNumberFormat="1" applyFont="1" applyFill="1"/>
    <xf numFmtId="43" fontId="9" fillId="2" borderId="0" xfId="0" applyNumberFormat="1" applyFont="1" applyFill="1"/>
    <xf numFmtId="169" fontId="3" fillId="0" borderId="1" xfId="0" applyNumberFormat="1" applyFont="1" applyBorder="1"/>
    <xf numFmtId="43" fontId="9" fillId="2" borderId="4" xfId="0" applyNumberFormat="1" applyFont="1" applyFill="1" applyBorder="1"/>
    <xf numFmtId="172" fontId="0" fillId="0" borderId="0" xfId="2" applyNumberFormat="1" applyFont="1"/>
    <xf numFmtId="39" fontId="0" fillId="0" borderId="0" xfId="0" applyNumberFormat="1"/>
    <xf numFmtId="9" fontId="0" fillId="3" borderId="0" xfId="0" applyNumberFormat="1" applyFill="1"/>
    <xf numFmtId="0" fontId="0" fillId="5" borderId="0" xfId="0" applyFill="1"/>
    <xf numFmtId="0" fontId="22" fillId="2" borderId="0" xfId="0" applyFont="1" applyFill="1"/>
    <xf numFmtId="0" fontId="22" fillId="4" borderId="0" xfId="0" applyFont="1" applyFill="1"/>
    <xf numFmtId="43" fontId="3" fillId="6" borderId="0" xfId="0" applyNumberFormat="1" applyFont="1" applyFill="1"/>
    <xf numFmtId="170" fontId="8" fillId="2" borderId="0" xfId="0" applyNumberFormat="1" applyFont="1" applyFill="1"/>
    <xf numFmtId="180" fontId="0" fillId="0" borderId="0" xfId="0" applyNumberFormat="1"/>
    <xf numFmtId="166" fontId="3" fillId="2" borderId="0" xfId="0" applyNumberFormat="1" applyFont="1" applyFill="1"/>
    <xf numFmtId="43" fontId="12" fillId="0" borderId="0" xfId="1" applyFont="1" applyBorder="1"/>
    <xf numFmtId="9" fontId="14" fillId="2" borderId="0" xfId="0" applyNumberFormat="1" applyFont="1" applyFill="1"/>
    <xf numFmtId="181" fontId="0" fillId="0" borderId="0" xfId="0" applyNumberFormat="1"/>
    <xf numFmtId="0" fontId="13" fillId="6" borderId="0" xfId="0" applyFont="1" applyFill="1"/>
    <xf numFmtId="167" fontId="0" fillId="6" borderId="0" xfId="0" applyNumberFormat="1" applyFill="1" applyAlignment="1">
      <alignment horizontal="left" indent="3"/>
    </xf>
    <xf numFmtId="182" fontId="3" fillId="0" borderId="1" xfId="0" applyNumberFormat="1" applyFont="1" applyBorder="1"/>
    <xf numFmtId="0" fontId="3" fillId="0" borderId="0" xfId="0" applyFont="1" applyAlignment="1">
      <alignment horizontal="center"/>
    </xf>
    <xf numFmtId="10" fontId="0" fillId="0" borderId="0" xfId="0" applyNumberFormat="1"/>
    <xf numFmtId="0" fontId="24" fillId="2" borderId="0" xfId="0" applyFont="1" applyFill="1"/>
    <xf numFmtId="165" fontId="19" fillId="0" borderId="0" xfId="2" applyNumberFormat="1" applyFont="1"/>
    <xf numFmtId="166" fontId="0" fillId="0" borderId="0" xfId="2" applyNumberFormat="1" applyFont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43" fontId="0" fillId="0" borderId="0" xfId="0" applyNumberFormat="1" applyAlignment="1">
      <alignment horizontal="center"/>
    </xf>
    <xf numFmtId="43" fontId="1" fillId="2" borderId="0" xfId="1" applyFont="1" applyFill="1"/>
    <xf numFmtId="172" fontId="12" fillId="2" borderId="0" xfId="2" applyNumberFormat="1" applyFont="1" applyFill="1"/>
    <xf numFmtId="166" fontId="1" fillId="3" borderId="0" xfId="2" applyNumberFormat="1" applyFont="1" applyFill="1"/>
    <xf numFmtId="170" fontId="0" fillId="3" borderId="0" xfId="0" applyNumberFormat="1" applyFill="1"/>
    <xf numFmtId="170" fontId="6" fillId="3" borderId="0" xfId="0" applyNumberFormat="1" applyFont="1" applyFill="1"/>
    <xf numFmtId="170" fontId="6" fillId="0" borderId="6" xfId="0" applyNumberFormat="1" applyFont="1" applyBorder="1"/>
    <xf numFmtId="165" fontId="0" fillId="3" borderId="0" xfId="2" applyNumberFormat="1" applyFont="1" applyFill="1"/>
    <xf numFmtId="9" fontId="1" fillId="3" borderId="0" xfId="2" applyFont="1" applyFill="1"/>
    <xf numFmtId="0" fontId="0" fillId="0" borderId="0" xfId="0" applyAlignment="1">
      <alignment horizontal="left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0" fontId="3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1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184" fontId="0" fillId="0" borderId="0" xfId="0" applyNumberFormat="1"/>
    <xf numFmtId="183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CCCCFF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externalLink" Target="externalLinks/externalLink1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Assumption!$D$38:$D$39</c:f>
              <c:strCache>
                <c:ptCount val="2"/>
                <c:pt idx="0">
                  <c:v>Shiprocket Revenue</c:v>
                </c:pt>
                <c:pt idx="1">
                  <c:v>Contribution</c:v>
                </c:pt>
              </c:strCache>
            </c:strRef>
          </c:tx>
          <c:spPr>
            <a:solidFill>
              <a:srgbClr val="6600CC"/>
            </a:solidFill>
          </c:spPr>
          <c:dPt>
            <c:idx val="0"/>
            <c:bubble3D val="0"/>
            <c:spPr>
              <a:solidFill>
                <a:srgbClr val="6600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E1F-4C0B-8B91-A3A1E1679CB5}"/>
              </c:ext>
            </c:extLst>
          </c:dPt>
          <c:dPt>
            <c:idx val="1"/>
            <c:bubble3D val="0"/>
            <c:spPr>
              <a:solidFill>
                <a:srgbClr val="CC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1F-4C0B-8B91-A3A1E1679CB5}"/>
              </c:ext>
            </c:extLst>
          </c:dPt>
          <c:dLbls>
            <c:dLbl>
              <c:idx val="0"/>
              <c:layout>
                <c:manualLayout>
                  <c:x val="2.3149934383202099E-2"/>
                  <c:y val="-0.1176024351122776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1F-4C0B-8B91-A3A1E1679CB5}"/>
                </c:ext>
              </c:extLst>
            </c:dLbl>
            <c:dLbl>
              <c:idx val="1"/>
              <c:layout>
                <c:manualLayout>
                  <c:x val="5.3205380577427824E-3"/>
                  <c:y val="4.825204141149023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1F-4C0B-8B91-A3A1E1679C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Assumption!$B$40:$C$41</c15:sqref>
                  </c15:fullRef>
                  <c15:levelRef>
                    <c15:sqref>Assumption!$B$40:$B$41</c15:sqref>
                  </c15:levelRef>
                </c:ext>
              </c:extLst>
              <c:f>Assumption!$B$40:$B$41</c:f>
              <c:strCache>
                <c:ptCount val="2"/>
                <c:pt idx="0">
                  <c:v>Core Business</c:v>
                </c:pt>
                <c:pt idx="1">
                  <c:v>Emerging Business</c:v>
                </c:pt>
              </c:strCache>
            </c:strRef>
          </c:cat>
          <c:val>
            <c:numRef>
              <c:f>Assumption!$D$40:$D$41</c:f>
              <c:numCache>
                <c:formatCode>0.00%</c:formatCode>
                <c:ptCount val="2"/>
                <c:pt idx="0">
                  <c:v>0.69499999999999995</c:v>
                </c:pt>
                <c:pt idx="1">
                  <c:v>0.30499999999999999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F-4C0B-8B91-A3A1E1679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Assumption!$C$61:$C$62</c:f>
              <c:strCache>
                <c:ptCount val="2"/>
                <c:pt idx="0">
                  <c:v>Indian E-commerce Market (USD Billion)</c:v>
                </c:pt>
                <c:pt idx="1">
                  <c:v>Valued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6600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F42-40C6-874B-E79775E7E348}"/>
              </c:ext>
            </c:extLst>
          </c:dPt>
          <c:dPt>
            <c:idx val="5"/>
            <c:invertIfNegative val="0"/>
            <c:bubble3D val="0"/>
            <c:spPr>
              <a:solidFill>
                <a:srgbClr val="6600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42-40C6-874B-E79775E7E348}"/>
              </c:ext>
            </c:extLst>
          </c:dPt>
          <c:dPt>
            <c:idx val="6"/>
            <c:invertIfNegative val="0"/>
            <c:bubble3D val="0"/>
            <c:spPr>
              <a:solidFill>
                <a:srgbClr val="6600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F42-40C6-874B-E79775E7E348}"/>
              </c:ext>
            </c:extLst>
          </c:dPt>
          <c:dPt>
            <c:idx val="7"/>
            <c:invertIfNegative val="0"/>
            <c:bubble3D val="0"/>
            <c:spPr>
              <a:solidFill>
                <a:srgbClr val="6600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F42-40C6-874B-E79775E7E3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Assumption!$B$63:$B$70</c:f>
              <c:numCache>
                <c:formatCode>0"A"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 formatCode="0&quot;E&quot;">
                  <c:v>2025</c:v>
                </c:pt>
                <c:pt idx="5" formatCode="0&quot;E&quot;">
                  <c:v>2026</c:v>
                </c:pt>
                <c:pt idx="6" formatCode="0&quot;E&quot;">
                  <c:v>2030</c:v>
                </c:pt>
                <c:pt idx="7" formatCode="0&quot;E&quot;">
                  <c:v>2035</c:v>
                </c:pt>
              </c:numCache>
            </c:numRef>
          </c:cat>
          <c:val>
            <c:numRef>
              <c:f>Assumption!$C$63:$C$70</c:f>
              <c:numCache>
                <c:formatCode>General</c:formatCode>
                <c:ptCount val="8"/>
                <c:pt idx="0">
                  <c:v>67</c:v>
                </c:pt>
                <c:pt idx="1">
                  <c:v>84</c:v>
                </c:pt>
                <c:pt idx="2">
                  <c:v>102</c:v>
                </c:pt>
                <c:pt idx="3">
                  <c:v>125</c:v>
                </c:pt>
                <c:pt idx="4">
                  <c:v>145</c:v>
                </c:pt>
                <c:pt idx="5">
                  <c:v>163</c:v>
                </c:pt>
                <c:pt idx="6">
                  <c:v>345</c:v>
                </c:pt>
                <c:pt idx="7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2-40C6-874B-E79775E7E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497312"/>
        <c:axId val="1959103408"/>
      </c:barChart>
      <c:catAx>
        <c:axId val="304497312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103408"/>
        <c:crosses val="autoZero"/>
        <c:auto val="1"/>
        <c:lblAlgn val="ctr"/>
        <c:lblOffset val="100"/>
        <c:noMultiLvlLbl val="0"/>
      </c:catAx>
      <c:valAx>
        <c:axId val="195910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49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fmlaLink="$H$5" fmlaRange="$B$14:$B$15" noThreeD="1" sel="1" val="0"/>
</file>

<file path=xl/ctrlProps/ctrlProp2.xml><?xml version="1.0" encoding="utf-8"?>
<formControlPr xmlns="http://schemas.microsoft.com/office/spreadsheetml/2009/9/main" objectType="Drop" dropStyle="combo" dx="26" fmlaRange="'[1]Control Sheet'!$B$15:$B$17" noThreeD="1" sel="0" val="0"/>
</file>

<file path=xl/ctrlProps/ctrlProp3.xml><?xml version="1.0" encoding="utf-8"?>
<formControlPr xmlns="http://schemas.microsoft.com/office/spreadsheetml/2009/9/main" objectType="Drop" dropStyle="combo" dx="26" fmlaRange="'[1]Control Sheet'!$B$15:$B$17" noThreeD="1" sel="0" val="0"/>
</file>

<file path=xl/ctrlProps/ctrlProp4.xml><?xml version="1.0" encoding="utf-8"?>
<formControlPr xmlns="http://schemas.microsoft.com/office/spreadsheetml/2009/9/main" objectType="Drop" dropStyle="combo" dx="26" fmlaRange="'[1]Control Sheet'!$B$15:$B$17" noThreeD="1" sel="0" val="0"/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4</xdr:row>
          <xdr:rowOff>45720</xdr:rowOff>
        </xdr:from>
        <xdr:to>
          <xdr:col>9</xdr:col>
          <xdr:colOff>190500</xdr:colOff>
          <xdr:row>5</xdr:row>
          <xdr:rowOff>22860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4</xdr:row>
          <xdr:rowOff>45720</xdr:rowOff>
        </xdr:from>
        <xdr:to>
          <xdr:col>7</xdr:col>
          <xdr:colOff>441960</xdr:colOff>
          <xdr:row>5</xdr:row>
          <xdr:rowOff>22860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4</xdr:row>
          <xdr:rowOff>45720</xdr:rowOff>
        </xdr:from>
        <xdr:to>
          <xdr:col>8</xdr:col>
          <xdr:colOff>289560</xdr:colOff>
          <xdr:row>5</xdr:row>
          <xdr:rowOff>22860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</xdr:colOff>
          <xdr:row>4</xdr:row>
          <xdr:rowOff>45720</xdr:rowOff>
        </xdr:from>
        <xdr:to>
          <xdr:col>6</xdr:col>
          <xdr:colOff>701040</xdr:colOff>
          <xdr:row>5</xdr:row>
          <xdr:rowOff>22860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830580</xdr:colOff>
      <xdr:row>41</xdr:row>
      <xdr:rowOff>152400</xdr:rowOff>
    </xdr:from>
    <xdr:to>
      <xdr:col>3</xdr:col>
      <xdr:colOff>7620</xdr:colOff>
      <xdr:row>51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5D3812-13E1-9D4B-2E84-07E6BD8BB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205740</xdr:colOff>
      <xdr:row>60</xdr:row>
      <xdr:rowOff>76200</xdr:rowOff>
    </xdr:from>
    <xdr:to>
      <xdr:col>6</xdr:col>
      <xdr:colOff>99060</xdr:colOff>
      <xdr:row>69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C10BC5-5277-B171-F648-68C47B0A5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A48CDDA2453C2B5/Documents/Desktop/Valuation/Mrs.Sector%20FM.xlsx" TargetMode="External"/><Relationship Id="rId1" Type="http://schemas.openxmlformats.org/officeDocument/2006/relationships/externalLinkPath" Target="Mrs.Sector%20F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 Sheet"/>
      <sheetName val="Schedule Sheet"/>
      <sheetName val="3 Statement Model"/>
      <sheetName val="Common Sized Model"/>
      <sheetName val="Ratio Analysis"/>
      <sheetName val="DCF&gt;"/>
      <sheetName val="DCF Valuation"/>
      <sheetName val="Audited Income Statement"/>
      <sheetName val="Audited Balan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3.xml"/><Relationship Id="rId4" Type="http://schemas.openxmlformats.org/officeDocument/2006/relationships/ctrlProp" Target="../ctrlProps/ctrlProp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BE48-5981-4F4C-BE2E-4DCCD376BADF}">
  <dimension ref="B4:P23"/>
  <sheetViews>
    <sheetView showGridLines="0" tabSelected="1" workbookViewId="0">
      <selection activeCell="R15" sqref="R15"/>
    </sheetView>
  </sheetViews>
  <sheetFormatPr defaultRowHeight="14.4" x14ac:dyDescent="0.3"/>
  <cols>
    <col min="1" max="1" width="1.88671875" customWidth="1"/>
  </cols>
  <sheetData>
    <row r="4" spans="2:16" ht="31.2" x14ac:dyDescent="0.6">
      <c r="I4" s="193" t="s">
        <v>403</v>
      </c>
      <c r="J4" s="193"/>
      <c r="K4" s="193"/>
      <c r="L4" s="193"/>
      <c r="M4" s="193"/>
      <c r="N4" s="193"/>
      <c r="O4" s="193"/>
    </row>
    <row r="5" spans="2:16" ht="14.4" customHeight="1" x14ac:dyDescent="0.35">
      <c r="C5" s="1"/>
      <c r="D5" s="1"/>
      <c r="E5" s="1"/>
      <c r="F5" s="1"/>
      <c r="G5" s="1"/>
      <c r="H5" s="1"/>
      <c r="I5" s="192" t="e" vm="1">
        <v>#VALUE!</v>
      </c>
      <c r="J5" s="192"/>
      <c r="K5" s="192"/>
      <c r="L5" s="192"/>
      <c r="M5" s="192"/>
      <c r="N5" s="192"/>
      <c r="O5" s="192"/>
      <c r="P5" s="1"/>
    </row>
    <row r="6" spans="2:16" ht="14.4" customHeight="1" x14ac:dyDescent="0.35">
      <c r="B6" s="1"/>
      <c r="C6" s="1"/>
      <c r="D6" s="1"/>
      <c r="E6" s="1"/>
      <c r="F6" s="1"/>
      <c r="G6" s="1"/>
      <c r="H6" s="1"/>
      <c r="I6" s="192"/>
      <c r="J6" s="192"/>
      <c r="K6" s="192"/>
      <c r="L6" s="192"/>
      <c r="M6" s="192"/>
      <c r="N6" s="192"/>
      <c r="O6" s="192"/>
      <c r="P6" s="1"/>
    </row>
    <row r="7" spans="2:16" ht="14.4" customHeight="1" x14ac:dyDescent="0.35">
      <c r="B7" s="1"/>
      <c r="C7" s="1"/>
      <c r="D7" s="1"/>
      <c r="E7" s="1"/>
      <c r="F7" s="1"/>
      <c r="G7" s="1"/>
      <c r="H7" s="1"/>
      <c r="I7" s="192"/>
      <c r="J7" s="192"/>
      <c r="K7" s="192"/>
      <c r="L7" s="192"/>
      <c r="M7" s="192"/>
      <c r="N7" s="192"/>
      <c r="O7" s="192"/>
      <c r="P7" s="1"/>
    </row>
    <row r="8" spans="2:16" ht="14.4" customHeight="1" x14ac:dyDescent="0.35">
      <c r="B8" s="1"/>
      <c r="C8" s="1"/>
      <c r="D8" s="1"/>
      <c r="E8" s="1"/>
      <c r="F8" s="1"/>
      <c r="G8" s="1"/>
      <c r="H8" s="1"/>
      <c r="I8" s="192"/>
      <c r="J8" s="192"/>
      <c r="K8" s="192"/>
      <c r="L8" s="192"/>
      <c r="M8" s="192"/>
      <c r="N8" s="192"/>
      <c r="O8" s="192"/>
      <c r="P8" s="1"/>
    </row>
    <row r="9" spans="2:16" ht="14.4" customHeight="1" x14ac:dyDescent="0.35">
      <c r="B9" s="1"/>
      <c r="C9" s="1"/>
      <c r="D9" s="1"/>
      <c r="E9" s="1"/>
      <c r="F9" s="1"/>
      <c r="G9" s="1"/>
      <c r="H9" s="1"/>
      <c r="I9" s="192"/>
      <c r="J9" s="192"/>
      <c r="K9" s="192"/>
      <c r="L9" s="192"/>
      <c r="M9" s="192"/>
      <c r="N9" s="192"/>
      <c r="O9" s="192"/>
      <c r="P9" s="1"/>
    </row>
    <row r="10" spans="2:16" ht="14.4" customHeight="1" x14ac:dyDescent="0.35">
      <c r="B10" s="1"/>
      <c r="C10" s="1"/>
      <c r="D10" s="1"/>
      <c r="E10" s="1"/>
      <c r="F10" s="1"/>
      <c r="G10" s="1"/>
      <c r="H10" s="1"/>
      <c r="I10" s="192"/>
      <c r="J10" s="192"/>
      <c r="K10" s="192"/>
      <c r="L10" s="192"/>
      <c r="M10" s="192"/>
      <c r="N10" s="192"/>
      <c r="O10" s="192"/>
      <c r="P10" s="1"/>
    </row>
    <row r="11" spans="2:16" ht="14.4" customHeight="1" x14ac:dyDescent="0.35">
      <c r="B11" s="1"/>
      <c r="C11" s="1"/>
      <c r="D11" s="1"/>
      <c r="E11" s="1"/>
      <c r="F11" s="1"/>
      <c r="G11" s="1"/>
      <c r="H11" s="1"/>
      <c r="I11" s="192"/>
      <c r="J11" s="192"/>
      <c r="K11" s="192"/>
      <c r="L11" s="192"/>
      <c r="M11" s="192"/>
      <c r="N11" s="192"/>
      <c r="O11" s="192"/>
      <c r="P11" s="1"/>
    </row>
    <row r="12" spans="2:16" ht="14.4" customHeight="1" x14ac:dyDescent="0.35">
      <c r="B12" s="1"/>
      <c r="C12" s="1"/>
      <c r="D12" s="1"/>
      <c r="E12" s="1"/>
      <c r="F12" s="1"/>
      <c r="G12" s="1"/>
      <c r="H12" s="1"/>
      <c r="I12" s="192"/>
      <c r="J12" s="192"/>
      <c r="K12" s="192"/>
      <c r="L12" s="192"/>
      <c r="M12" s="192"/>
      <c r="N12" s="192"/>
      <c r="O12" s="192"/>
      <c r="P12" s="1"/>
    </row>
    <row r="13" spans="2:16" ht="14.4" customHeight="1" x14ac:dyDescent="0.35">
      <c r="B13" s="1"/>
      <c r="C13" s="1"/>
      <c r="D13" s="1"/>
      <c r="E13" s="1"/>
      <c r="F13" s="1"/>
      <c r="G13" s="1"/>
      <c r="H13" s="1"/>
      <c r="I13" s="192"/>
      <c r="J13" s="192"/>
      <c r="K13" s="192"/>
      <c r="L13" s="192"/>
      <c r="M13" s="192"/>
      <c r="N13" s="192"/>
      <c r="O13" s="192"/>
      <c r="P13" s="1"/>
    </row>
    <row r="14" spans="2:16" ht="14.4" customHeigh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 ht="25.8" x14ac:dyDescent="0.5">
      <c r="I15" s="194" t="s">
        <v>404</v>
      </c>
      <c r="J15" s="194"/>
      <c r="K15" s="194"/>
      <c r="L15" s="194"/>
      <c r="M15" s="194"/>
      <c r="N15" s="194"/>
      <c r="O15" s="194"/>
      <c r="P15" s="1"/>
    </row>
    <row r="16" spans="2:16" ht="14.4" customHeight="1" x14ac:dyDescent="0.35">
      <c r="I16" s="191" t="s">
        <v>405</v>
      </c>
      <c r="J16" s="191"/>
      <c r="K16" s="191"/>
      <c r="L16" s="191"/>
      <c r="M16" s="191"/>
      <c r="N16" s="191"/>
      <c r="O16" s="191"/>
      <c r="P16" s="1"/>
    </row>
    <row r="17" spans="9:15" x14ac:dyDescent="0.3">
      <c r="J17" s="195" t="s">
        <v>406</v>
      </c>
      <c r="K17" s="195"/>
      <c r="L17" s="195"/>
      <c r="M17" s="195"/>
      <c r="N17" s="195"/>
      <c r="O17" s="195"/>
    </row>
    <row r="18" spans="9:15" x14ac:dyDescent="0.3">
      <c r="J18" s="184"/>
      <c r="K18" s="184"/>
      <c r="L18" s="184"/>
      <c r="M18" s="184"/>
      <c r="N18" s="184"/>
      <c r="O18" s="184"/>
    </row>
    <row r="19" spans="9:15" x14ac:dyDescent="0.3">
      <c r="J19" s="191" t="s">
        <v>408</v>
      </c>
      <c r="K19" s="191"/>
      <c r="L19" s="191"/>
      <c r="M19" s="191"/>
      <c r="N19" s="191"/>
      <c r="O19" s="184"/>
    </row>
    <row r="21" spans="9:15" x14ac:dyDescent="0.3">
      <c r="I21" s="190" t="s">
        <v>407</v>
      </c>
      <c r="J21" s="190"/>
      <c r="K21" s="190"/>
      <c r="L21" s="190"/>
      <c r="M21" s="190"/>
      <c r="N21" s="190"/>
      <c r="O21" s="190"/>
    </row>
    <row r="22" spans="9:15" x14ac:dyDescent="0.3">
      <c r="I22" s="190"/>
      <c r="J22" s="190"/>
      <c r="K22" s="190"/>
      <c r="L22" s="190"/>
      <c r="M22" s="190"/>
      <c r="N22" s="190"/>
      <c r="O22" s="190"/>
    </row>
    <row r="23" spans="9:15" x14ac:dyDescent="0.3">
      <c r="I23" s="190"/>
      <c r="J23" s="190"/>
      <c r="K23" s="190"/>
      <c r="L23" s="190"/>
      <c r="M23" s="190"/>
      <c r="N23" s="190"/>
      <c r="O23" s="190"/>
    </row>
  </sheetData>
  <mergeCells count="7">
    <mergeCell ref="I21:O23"/>
    <mergeCell ref="J19:N19"/>
    <mergeCell ref="I5:O13"/>
    <mergeCell ref="I4:O4"/>
    <mergeCell ref="I15:O15"/>
    <mergeCell ref="I16:O16"/>
    <mergeCell ref="J17:O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6454-1AE5-4ADD-89FD-ED2A1D2D49E0}">
  <sheetPr codeName="Sheet2"/>
  <dimension ref="A2:O82"/>
  <sheetViews>
    <sheetView showGridLines="0" workbookViewId="0">
      <selection activeCell="B3" sqref="B3"/>
    </sheetView>
  </sheetViews>
  <sheetFormatPr defaultRowHeight="14.4" outlineLevelRow="1" x14ac:dyDescent="0.3"/>
  <cols>
    <col min="1" max="1" width="1.88671875" customWidth="1"/>
    <col min="2" max="2" width="34" bestFit="1" customWidth="1"/>
    <col min="7" max="7" width="11.5546875" bestFit="1" customWidth="1"/>
    <col min="8" max="12" width="10.109375" bestFit="1" customWidth="1"/>
  </cols>
  <sheetData>
    <row r="2" spans="1:15" ht="21" x14ac:dyDescent="0.4">
      <c r="B2" s="116" t="s">
        <v>317</v>
      </c>
    </row>
    <row r="3" spans="1:15" x14ac:dyDescent="0.3">
      <c r="B3" s="20" t="s">
        <v>0</v>
      </c>
    </row>
    <row r="4" spans="1:15" ht="18" customHeight="1" x14ac:dyDescent="0.35">
      <c r="B4" s="1"/>
    </row>
    <row r="5" spans="1:15" ht="18" customHeight="1" x14ac:dyDescent="0.35">
      <c r="B5" s="1"/>
      <c r="G5" t="s">
        <v>1</v>
      </c>
      <c r="H5">
        <v>1</v>
      </c>
    </row>
    <row r="6" spans="1:15" ht="14.4" customHeight="1" x14ac:dyDescent="0.35">
      <c r="B6" s="1"/>
    </row>
    <row r="7" spans="1:15" ht="14.4" customHeight="1" x14ac:dyDescent="0.35">
      <c r="B7" s="1"/>
      <c r="I7" t="s">
        <v>2</v>
      </c>
    </row>
    <row r="8" spans="1:15" x14ac:dyDescent="0.3">
      <c r="D8" s="2"/>
      <c r="E8" s="2"/>
      <c r="F8" s="197" t="s">
        <v>3</v>
      </c>
      <c r="G8" s="197"/>
      <c r="H8" s="197"/>
      <c r="I8" s="196" t="s">
        <v>4</v>
      </c>
      <c r="J8" s="196"/>
      <c r="K8" s="196"/>
      <c r="L8" s="196"/>
      <c r="M8" s="196"/>
    </row>
    <row r="9" spans="1:15" x14ac:dyDescent="0.3">
      <c r="B9" s="118" t="s">
        <v>318</v>
      </c>
      <c r="F9" s="3">
        <f>G9-1</f>
        <v>2024</v>
      </c>
      <c r="G9" s="3">
        <v>2025</v>
      </c>
      <c r="H9" s="3">
        <f>G9+1</f>
        <v>2026</v>
      </c>
      <c r="I9" s="3">
        <f t="shared" ref="I9:K9" si="0">H9+1</f>
        <v>2027</v>
      </c>
      <c r="J9" s="3">
        <f t="shared" si="0"/>
        <v>2028</v>
      </c>
      <c r="K9" s="3">
        <f t="shared" si="0"/>
        <v>2029</v>
      </c>
      <c r="L9" s="3">
        <f>K9+1</f>
        <v>2030</v>
      </c>
      <c r="M9" s="3">
        <f>L9+1</f>
        <v>2031</v>
      </c>
    </row>
    <row r="10" spans="1:15" x14ac:dyDescent="0.3">
      <c r="B10" s="119"/>
      <c r="C10" s="4"/>
      <c r="D10" s="4"/>
      <c r="E10" s="4"/>
      <c r="F10" s="4"/>
      <c r="G10" s="4"/>
      <c r="H10" s="4" t="s">
        <v>5</v>
      </c>
      <c r="I10" s="4"/>
      <c r="J10" s="4"/>
      <c r="K10" s="4"/>
      <c r="L10" s="4"/>
      <c r="M10" s="4"/>
    </row>
    <row r="11" spans="1:15" ht="15.6" x14ac:dyDescent="0.3">
      <c r="A11" t="s">
        <v>6</v>
      </c>
      <c r="B11" s="117" t="s">
        <v>7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</row>
    <row r="13" spans="1:15" x14ac:dyDescent="0.3">
      <c r="B13" s="113" t="s">
        <v>8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5"/>
      <c r="O13" s="5"/>
    </row>
    <row r="14" spans="1:15" x14ac:dyDescent="0.3">
      <c r="B14" s="6" t="s">
        <v>380</v>
      </c>
      <c r="C14" s="7"/>
      <c r="D14" s="7"/>
      <c r="E14" s="7"/>
      <c r="F14" s="9"/>
      <c r="G14" s="9"/>
      <c r="H14" s="9"/>
      <c r="I14" s="10">
        <v>0.33</v>
      </c>
      <c r="J14" s="10">
        <v>0.36</v>
      </c>
      <c r="K14" s="10">
        <v>0.39</v>
      </c>
      <c r="L14" s="10">
        <v>0.42</v>
      </c>
      <c r="M14" s="10">
        <v>0.45</v>
      </c>
    </row>
    <row r="15" spans="1:15" x14ac:dyDescent="0.3">
      <c r="B15" s="6" t="s">
        <v>9</v>
      </c>
      <c r="C15" s="7"/>
      <c r="D15" s="7"/>
      <c r="E15" s="7"/>
      <c r="F15" s="9"/>
      <c r="G15" s="9"/>
      <c r="H15" s="9"/>
      <c r="I15" s="10">
        <v>0.22</v>
      </c>
      <c r="J15" s="10">
        <v>0.22</v>
      </c>
      <c r="K15" s="10">
        <v>0.22</v>
      </c>
      <c r="L15" s="10">
        <v>0.22</v>
      </c>
      <c r="M15" s="10">
        <v>0.22</v>
      </c>
    </row>
    <row r="16" spans="1:15" x14ac:dyDescent="0.3">
      <c r="B16" s="11" t="str">
        <f>"Current Case - "&amp; CHOOSE($H$5,$B$14,$B$15)</f>
        <v>Current Case - Base Case</v>
      </c>
      <c r="C16" s="7"/>
      <c r="D16" s="7"/>
      <c r="E16" s="7"/>
      <c r="F16" s="12"/>
      <c r="G16" s="12"/>
      <c r="H16" s="12"/>
      <c r="I16" s="12">
        <f>CHOOSE($H$5,I14,I15)</f>
        <v>0.33</v>
      </c>
      <c r="J16" s="12">
        <f t="shared" ref="J16:M16" si="1">CHOOSE($H$5,J14,J15)</f>
        <v>0.36</v>
      </c>
      <c r="K16" s="12">
        <f t="shared" si="1"/>
        <v>0.39</v>
      </c>
      <c r="L16" s="12">
        <f t="shared" si="1"/>
        <v>0.42</v>
      </c>
      <c r="M16" s="12">
        <f t="shared" si="1"/>
        <v>0.45</v>
      </c>
    </row>
    <row r="17" spans="2:13" x14ac:dyDescent="0.3">
      <c r="B17" s="13"/>
      <c r="C17" s="14"/>
      <c r="D17" s="14"/>
      <c r="E17" s="14"/>
      <c r="F17" s="15"/>
      <c r="G17" s="15"/>
      <c r="H17" s="15"/>
      <c r="I17" s="15"/>
      <c r="J17" s="15"/>
      <c r="K17" s="15"/>
      <c r="L17" s="15"/>
      <c r="M17" s="16"/>
    </row>
    <row r="18" spans="2:13" x14ac:dyDescent="0.3">
      <c r="B18" s="113" t="s">
        <v>356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</row>
    <row r="19" spans="2:13" x14ac:dyDescent="0.3">
      <c r="B19" s="6" t="s">
        <v>380</v>
      </c>
      <c r="C19" s="7"/>
      <c r="D19" s="7"/>
      <c r="E19" s="7"/>
      <c r="F19" s="9"/>
      <c r="G19" s="9"/>
      <c r="H19" s="9"/>
      <c r="I19" s="10">
        <v>0.2</v>
      </c>
      <c r="J19" s="10">
        <v>0.22</v>
      </c>
      <c r="K19" s="10">
        <v>0.24</v>
      </c>
      <c r="L19" s="10">
        <v>0.26</v>
      </c>
      <c r="M19" s="10">
        <v>0.28000000000000003</v>
      </c>
    </row>
    <row r="20" spans="2:13" x14ac:dyDescent="0.3">
      <c r="B20" s="6" t="s">
        <v>9</v>
      </c>
      <c r="C20" s="7"/>
      <c r="D20" s="7"/>
      <c r="E20" s="7"/>
      <c r="F20" s="9"/>
      <c r="G20" s="9"/>
      <c r="H20" s="9"/>
      <c r="I20" s="10">
        <v>0.15</v>
      </c>
      <c r="J20" s="10">
        <v>0.14000000000000001</v>
      </c>
      <c r="K20" s="10">
        <v>0.13</v>
      </c>
      <c r="L20" s="10">
        <v>0.12</v>
      </c>
      <c r="M20" s="10">
        <v>0.11</v>
      </c>
    </row>
    <row r="21" spans="2:13" x14ac:dyDescent="0.3">
      <c r="B21" s="11" t="str">
        <f>"Current Case - "&amp; CHOOSE($H$5,$B$14,$B$15)</f>
        <v>Current Case - Base Case</v>
      </c>
      <c r="C21" s="7"/>
      <c r="D21" s="7"/>
      <c r="E21" s="7"/>
      <c r="F21" s="12"/>
      <c r="G21" s="12"/>
      <c r="H21" s="12"/>
      <c r="I21" s="12">
        <f t="shared" ref="I21:M21" si="2">CHOOSE($H$5,I19,I20)</f>
        <v>0.2</v>
      </c>
      <c r="J21" s="12">
        <f t="shared" si="2"/>
        <v>0.22</v>
      </c>
      <c r="K21" s="12">
        <f t="shared" si="2"/>
        <v>0.24</v>
      </c>
      <c r="L21" s="12">
        <f t="shared" si="2"/>
        <v>0.26</v>
      </c>
      <c r="M21" s="12">
        <f t="shared" si="2"/>
        <v>0.28000000000000003</v>
      </c>
    </row>
    <row r="22" spans="2:13" x14ac:dyDescent="0.3">
      <c r="B22" s="13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6"/>
    </row>
    <row r="23" spans="2:13" x14ac:dyDescent="0.3">
      <c r="B23" s="113" t="s">
        <v>323</v>
      </c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</row>
    <row r="24" spans="2:13" x14ac:dyDescent="0.3">
      <c r="B24" s="6" t="s">
        <v>380</v>
      </c>
      <c r="C24" s="7"/>
      <c r="D24" s="7"/>
      <c r="E24" s="7"/>
      <c r="F24" s="9"/>
      <c r="G24" s="9"/>
      <c r="H24" s="9"/>
      <c r="I24" s="10">
        <v>0.68</v>
      </c>
      <c r="J24" s="10">
        <v>0.65</v>
      </c>
      <c r="K24" s="10">
        <v>0.62</v>
      </c>
      <c r="L24" s="10">
        <v>0.6</v>
      </c>
      <c r="M24" s="10">
        <v>0.6</v>
      </c>
    </row>
    <row r="25" spans="2:13" x14ac:dyDescent="0.3">
      <c r="B25" s="6" t="s">
        <v>9</v>
      </c>
      <c r="C25" s="7"/>
      <c r="D25" s="7"/>
      <c r="E25" s="7"/>
      <c r="F25" s="9"/>
      <c r="G25" s="9"/>
      <c r="H25" s="9"/>
      <c r="I25" s="10">
        <v>0.4</v>
      </c>
      <c r="J25" s="10">
        <v>0.39</v>
      </c>
      <c r="K25" s="10">
        <v>0.38</v>
      </c>
      <c r="L25" s="10">
        <v>0.37</v>
      </c>
      <c r="M25" s="10">
        <v>0.36</v>
      </c>
    </row>
    <row r="26" spans="2:13" x14ac:dyDescent="0.3">
      <c r="B26" s="11" t="str">
        <f>"Current Case - "&amp; CHOOSE($H$5,$B$14,$B$15)</f>
        <v>Current Case - Base Case</v>
      </c>
      <c r="C26" s="7"/>
      <c r="D26" s="7"/>
      <c r="E26" s="7"/>
      <c r="F26" s="12"/>
      <c r="G26" s="12"/>
      <c r="H26" s="12"/>
      <c r="I26" s="12">
        <f t="shared" ref="I26:M26" si="3">CHOOSE($H$5,I24,I25)</f>
        <v>0.68</v>
      </c>
      <c r="J26" s="12">
        <f t="shared" si="3"/>
        <v>0.65</v>
      </c>
      <c r="K26" s="12">
        <f t="shared" si="3"/>
        <v>0.62</v>
      </c>
      <c r="L26" s="12">
        <f t="shared" si="3"/>
        <v>0.6</v>
      </c>
      <c r="M26" s="12">
        <f t="shared" si="3"/>
        <v>0.6</v>
      </c>
    </row>
    <row r="28" spans="2:13" hidden="1" outlineLevel="1" x14ac:dyDescent="0.3">
      <c r="B28" s="20"/>
      <c r="C28" s="20"/>
      <c r="D28" s="20"/>
      <c r="E28" s="20"/>
      <c r="F28" s="20"/>
      <c r="G28" s="20"/>
      <c r="H28" s="16"/>
      <c r="I28" s="16"/>
      <c r="J28" s="16"/>
      <c r="K28" s="16"/>
      <c r="L28" s="16"/>
      <c r="M28" s="16"/>
    </row>
    <row r="29" spans="2:13" ht="15.6" collapsed="1" x14ac:dyDescent="0.3">
      <c r="B29" s="117" t="s">
        <v>10</v>
      </c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</row>
    <row r="30" spans="2:13" ht="15.6" x14ac:dyDescent="0.3"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2:13" x14ac:dyDescent="0.3">
      <c r="B31" s="113" t="s">
        <v>198</v>
      </c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</row>
    <row r="32" spans="2:13" x14ac:dyDescent="0.3">
      <c r="B32" s="6" t="s">
        <v>380</v>
      </c>
      <c r="C32" s="7"/>
      <c r="D32" s="7"/>
      <c r="E32" s="7"/>
      <c r="F32" s="9"/>
      <c r="G32" s="9"/>
      <c r="H32" s="9"/>
      <c r="I32" s="10">
        <v>0.67500000000000004</v>
      </c>
      <c r="J32" s="10">
        <v>0.66500000000000004</v>
      </c>
      <c r="K32" s="10">
        <v>0.65500000000000003</v>
      </c>
      <c r="L32" s="10">
        <v>0.65</v>
      </c>
      <c r="M32" s="10">
        <v>0.65</v>
      </c>
    </row>
    <row r="33" spans="2:13" x14ac:dyDescent="0.3">
      <c r="B33" s="6" t="s">
        <v>9</v>
      </c>
      <c r="C33" s="7"/>
      <c r="D33" s="7"/>
      <c r="E33" s="7"/>
      <c r="F33" s="9"/>
      <c r="G33" s="9"/>
      <c r="H33" s="9"/>
      <c r="I33" s="10">
        <v>0.8</v>
      </c>
      <c r="J33" s="10">
        <v>0.78</v>
      </c>
      <c r="K33" s="10">
        <v>0.76</v>
      </c>
      <c r="L33" s="10">
        <v>0.74</v>
      </c>
      <c r="M33" s="10">
        <v>0.72</v>
      </c>
    </row>
    <row r="34" spans="2:13" x14ac:dyDescent="0.3">
      <c r="B34" s="11" t="str">
        <f>"Current Case - "&amp; CHOOSE($H$5,$B$14,$B$15)</f>
        <v>Current Case - Base Case</v>
      </c>
      <c r="C34" s="7"/>
      <c r="D34" s="7"/>
      <c r="E34" s="7"/>
      <c r="F34" s="12"/>
      <c r="G34" s="12"/>
      <c r="H34" s="12"/>
      <c r="I34" s="12">
        <f t="shared" ref="I34" si="4">CHOOSE($H$5,I32,I33)</f>
        <v>0.67500000000000004</v>
      </c>
      <c r="J34" s="12">
        <f t="shared" ref="J34" si="5">CHOOSE($H$5,J32,J33)</f>
        <v>0.66500000000000004</v>
      </c>
      <c r="K34" s="12">
        <f t="shared" ref="K34" si="6">CHOOSE($H$5,K32,K33)</f>
        <v>0.65500000000000003</v>
      </c>
      <c r="L34" s="12">
        <f t="shared" ref="L34" si="7">CHOOSE($H$5,L32,L33)</f>
        <v>0.65</v>
      </c>
      <c r="M34" s="12">
        <f t="shared" ref="M34" si="8">CHOOSE($H$5,M32,M33)</f>
        <v>0.65</v>
      </c>
    </row>
    <row r="36" spans="2:13" x14ac:dyDescent="0.3">
      <c r="B36" s="113" t="s">
        <v>199</v>
      </c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</row>
    <row r="37" spans="2:13" x14ac:dyDescent="0.3">
      <c r="B37" s="6" t="s">
        <v>380</v>
      </c>
      <c r="C37" s="7"/>
      <c r="D37" s="7"/>
      <c r="E37" s="7"/>
      <c r="F37" s="9"/>
      <c r="G37" s="9"/>
      <c r="H37" s="9"/>
      <c r="I37" s="10">
        <v>0.01</v>
      </c>
      <c r="J37" s="10">
        <v>0.01</v>
      </c>
      <c r="K37" s="10">
        <v>0.01</v>
      </c>
      <c r="L37" s="10">
        <v>0.01</v>
      </c>
      <c r="M37" s="10">
        <v>0.01</v>
      </c>
    </row>
    <row r="38" spans="2:13" x14ac:dyDescent="0.3">
      <c r="B38" s="6" t="s">
        <v>9</v>
      </c>
      <c r="C38" s="7"/>
      <c r="D38" s="7"/>
      <c r="E38" s="7"/>
      <c r="F38" s="9"/>
      <c r="G38" s="9"/>
      <c r="H38" s="9"/>
      <c r="I38" s="10">
        <v>0.05</v>
      </c>
      <c r="J38" s="10">
        <v>0.05</v>
      </c>
      <c r="K38" s="10">
        <v>0.05</v>
      </c>
      <c r="L38" s="10">
        <v>0.05</v>
      </c>
      <c r="M38" s="10">
        <v>0.05</v>
      </c>
    </row>
    <row r="39" spans="2:13" x14ac:dyDescent="0.3">
      <c r="B39" s="11" t="str">
        <f>"Current Case - "&amp; CHOOSE($H$5,$B$14,$B$15)</f>
        <v>Current Case - Base Case</v>
      </c>
      <c r="C39" s="7"/>
      <c r="D39" s="7"/>
      <c r="E39" s="7"/>
      <c r="F39" s="12"/>
      <c r="G39" s="12"/>
      <c r="H39" s="12"/>
      <c r="I39" s="12">
        <f t="shared" ref="I39" si="9">CHOOSE($H$5,I37,I38)</f>
        <v>0.01</v>
      </c>
      <c r="J39" s="12">
        <f t="shared" ref="J39" si="10">CHOOSE($H$5,J37,J38)</f>
        <v>0.01</v>
      </c>
      <c r="K39" s="12">
        <f t="shared" ref="K39" si="11">CHOOSE($H$5,K37,K38)</f>
        <v>0.01</v>
      </c>
      <c r="L39" s="12">
        <f t="shared" ref="L39" si="12">CHOOSE($H$5,L37,L38)</f>
        <v>0.01</v>
      </c>
      <c r="M39" s="12">
        <f t="shared" ref="M39" si="13">CHOOSE($H$5,M37,M38)</f>
        <v>0.01</v>
      </c>
    </row>
    <row r="41" spans="2:13" x14ac:dyDescent="0.3">
      <c r="B41" s="113" t="s">
        <v>200</v>
      </c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</row>
    <row r="42" spans="2:13" x14ac:dyDescent="0.3">
      <c r="B42" s="6" t="s">
        <v>380</v>
      </c>
      <c r="C42" s="7"/>
      <c r="D42" s="7"/>
      <c r="E42" s="7"/>
      <c r="F42" s="9"/>
      <c r="G42" s="9"/>
      <c r="H42" s="9"/>
      <c r="I42" s="10">
        <v>0</v>
      </c>
      <c r="J42" s="10">
        <v>0</v>
      </c>
      <c r="K42" s="10">
        <v>0</v>
      </c>
      <c r="L42" s="10">
        <v>0</v>
      </c>
      <c r="M42" s="10">
        <v>0</v>
      </c>
    </row>
    <row r="43" spans="2:13" x14ac:dyDescent="0.3">
      <c r="B43" s="6" t="s">
        <v>9</v>
      </c>
      <c r="C43" s="7"/>
      <c r="D43" s="7"/>
      <c r="E43" s="7"/>
      <c r="F43" s="9"/>
      <c r="G43" s="9"/>
      <c r="H43" s="9"/>
      <c r="I43" s="10">
        <v>0</v>
      </c>
      <c r="J43" s="10">
        <v>0</v>
      </c>
      <c r="K43" s="10">
        <v>0</v>
      </c>
      <c r="L43" s="10">
        <v>0</v>
      </c>
      <c r="M43" s="10">
        <v>0</v>
      </c>
    </row>
    <row r="44" spans="2:13" x14ac:dyDescent="0.3">
      <c r="B44" s="11" t="str">
        <f>"Current Case - "&amp; CHOOSE($H$5,$B$14,$B$15)</f>
        <v>Current Case - Base Case</v>
      </c>
      <c r="C44" s="7"/>
      <c r="D44" s="7"/>
      <c r="E44" s="7"/>
      <c r="F44" s="12"/>
      <c r="G44" s="12"/>
      <c r="H44" s="12"/>
      <c r="I44" s="12">
        <f t="shared" ref="I44" si="14">CHOOSE($H$5,I42,I43)</f>
        <v>0</v>
      </c>
      <c r="J44" s="12">
        <f t="shared" ref="J44" si="15">CHOOSE($H$5,J42,J43)</f>
        <v>0</v>
      </c>
      <c r="K44" s="12">
        <f t="shared" ref="K44" si="16">CHOOSE($H$5,K42,K43)</f>
        <v>0</v>
      </c>
      <c r="L44" s="12">
        <f t="shared" ref="L44" si="17">CHOOSE($H$5,L42,L43)</f>
        <v>0</v>
      </c>
      <c r="M44" s="12">
        <f t="shared" ref="M44" si="18">CHOOSE($H$5,M42,M43)</f>
        <v>0</v>
      </c>
    </row>
    <row r="46" spans="2:13" x14ac:dyDescent="0.3">
      <c r="B46" s="113" t="s">
        <v>22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</row>
    <row r="47" spans="2:13" x14ac:dyDescent="0.3">
      <c r="B47" s="6" t="s">
        <v>380</v>
      </c>
      <c r="C47" s="7"/>
      <c r="D47" s="7"/>
      <c r="E47" s="7"/>
      <c r="F47" s="9"/>
      <c r="G47" s="9"/>
      <c r="H47" s="9"/>
      <c r="I47" s="10">
        <v>0.27</v>
      </c>
      <c r="J47" s="10">
        <v>0.27</v>
      </c>
      <c r="K47" s="10">
        <v>0.27</v>
      </c>
      <c r="L47" s="10">
        <v>0.27</v>
      </c>
      <c r="M47" s="10">
        <v>0.27</v>
      </c>
    </row>
    <row r="48" spans="2:13" x14ac:dyDescent="0.3">
      <c r="B48" s="6" t="s">
        <v>9</v>
      </c>
      <c r="C48" s="7"/>
      <c r="D48" s="7"/>
      <c r="E48" s="7"/>
      <c r="F48" s="9"/>
      <c r="G48" s="9"/>
      <c r="H48" s="9"/>
      <c r="I48" s="10">
        <v>0.35</v>
      </c>
      <c r="J48" s="10">
        <v>0.35</v>
      </c>
      <c r="K48" s="10">
        <v>0.35</v>
      </c>
      <c r="L48" s="10">
        <v>0.35</v>
      </c>
      <c r="M48" s="10">
        <v>0.35</v>
      </c>
    </row>
    <row r="49" spans="2:13" x14ac:dyDescent="0.3">
      <c r="B49" s="11" t="str">
        <f>"Current Case - "&amp; CHOOSE($H$5,$B$14,$B$15)</f>
        <v>Current Case - Base Case</v>
      </c>
      <c r="C49" s="7"/>
      <c r="D49" s="7"/>
      <c r="E49" s="7"/>
      <c r="F49" s="12"/>
      <c r="G49" s="12"/>
      <c r="H49" s="12"/>
      <c r="I49" s="12">
        <f t="shared" ref="I49" si="19">CHOOSE($H$5,I47,I48)</f>
        <v>0.27</v>
      </c>
      <c r="J49" s="12">
        <f t="shared" ref="J49" si="20">CHOOSE($H$5,J47,J48)</f>
        <v>0.27</v>
      </c>
      <c r="K49" s="12">
        <f t="shared" ref="K49" si="21">CHOOSE($H$5,K47,K48)</f>
        <v>0.27</v>
      </c>
      <c r="L49" s="12">
        <f t="shared" ref="L49" si="22">CHOOSE($H$5,L47,L48)</f>
        <v>0.27</v>
      </c>
      <c r="M49" s="12">
        <f t="shared" ref="M49" si="23">CHOOSE($H$5,M47,M48)</f>
        <v>0.27</v>
      </c>
    </row>
    <row r="51" spans="2:13" x14ac:dyDescent="0.3">
      <c r="B51" s="113" t="s">
        <v>24</v>
      </c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</row>
    <row r="52" spans="2:13" x14ac:dyDescent="0.3">
      <c r="B52" s="6" t="s">
        <v>380</v>
      </c>
      <c r="C52" s="7"/>
      <c r="D52" s="7"/>
      <c r="E52" s="7"/>
      <c r="F52" s="9"/>
      <c r="G52" s="9"/>
      <c r="H52" s="9"/>
      <c r="I52" s="10">
        <v>0.11</v>
      </c>
      <c r="J52" s="10">
        <v>0.11</v>
      </c>
      <c r="K52" s="10">
        <v>0.11</v>
      </c>
      <c r="L52" s="10">
        <v>0.11</v>
      </c>
      <c r="M52" s="10">
        <v>0.11</v>
      </c>
    </row>
    <row r="53" spans="2:13" x14ac:dyDescent="0.3">
      <c r="B53" s="6" t="s">
        <v>9</v>
      </c>
      <c r="C53" s="7"/>
      <c r="D53" s="7"/>
      <c r="E53" s="7"/>
      <c r="F53" s="9"/>
      <c r="G53" s="9"/>
      <c r="H53" s="9"/>
      <c r="I53" s="10">
        <v>0.2</v>
      </c>
      <c r="J53" s="10">
        <v>0.2</v>
      </c>
      <c r="K53" s="10">
        <v>0.2</v>
      </c>
      <c r="L53" s="10">
        <v>0.2</v>
      </c>
      <c r="M53" s="10">
        <v>0.2</v>
      </c>
    </row>
    <row r="54" spans="2:13" x14ac:dyDescent="0.3">
      <c r="B54" s="11" t="str">
        <f>"Current Case - "&amp; CHOOSE($H$5,$B$14,$B$15)</f>
        <v>Current Case - Base Case</v>
      </c>
      <c r="C54" s="7"/>
      <c r="D54" s="7"/>
      <c r="E54" s="7"/>
      <c r="F54" s="12"/>
      <c r="G54" s="12"/>
      <c r="H54" s="12"/>
      <c r="I54" s="12">
        <f t="shared" ref="I54" si="24">CHOOSE($H$5,I52,I53)</f>
        <v>0.11</v>
      </c>
      <c r="J54" s="12">
        <f t="shared" ref="J54" si="25">CHOOSE($H$5,J52,J53)</f>
        <v>0.11</v>
      </c>
      <c r="K54" s="12">
        <f t="shared" ref="K54" si="26">CHOOSE($H$5,K52,K53)</f>
        <v>0.11</v>
      </c>
      <c r="L54" s="12">
        <f t="shared" ref="L54" si="27">CHOOSE($H$5,L52,L53)</f>
        <v>0.11</v>
      </c>
      <c r="M54" s="12">
        <f t="shared" ref="M54" si="28">CHOOSE($H$5,M52,M53)</f>
        <v>0.11</v>
      </c>
    </row>
    <row r="56" spans="2:13" ht="15.6" x14ac:dyDescent="0.3">
      <c r="B56" s="117" t="s">
        <v>11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</row>
    <row r="58" spans="2:13" x14ac:dyDescent="0.3">
      <c r="B58" s="113" t="s">
        <v>12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</row>
    <row r="59" spans="2:13" s="5" customFormat="1" x14ac:dyDescent="0.3">
      <c r="B59" s="21"/>
    </row>
    <row r="60" spans="2:13" x14ac:dyDescent="0.3">
      <c r="B60" s="11" t="s">
        <v>13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2:13" x14ac:dyDescent="0.3">
      <c r="B61" s="6" t="s">
        <v>380</v>
      </c>
      <c r="C61" s="7"/>
      <c r="D61" s="7"/>
      <c r="E61" s="7"/>
      <c r="F61" s="8"/>
      <c r="G61" s="8"/>
      <c r="H61" s="8"/>
      <c r="I61" s="19">
        <v>0.01</v>
      </c>
      <c r="J61" s="19">
        <v>0.01</v>
      </c>
      <c r="K61" s="19">
        <v>0.01</v>
      </c>
      <c r="L61" s="19">
        <v>0.01</v>
      </c>
      <c r="M61" s="19">
        <v>0.01</v>
      </c>
    </row>
    <row r="62" spans="2:13" x14ac:dyDescent="0.3">
      <c r="B62" s="6" t="s">
        <v>9</v>
      </c>
      <c r="C62" s="7"/>
      <c r="D62" s="7"/>
      <c r="E62" s="7"/>
      <c r="F62" s="8"/>
      <c r="G62" s="8"/>
      <c r="H62" s="8"/>
      <c r="I62" s="19">
        <v>0.01</v>
      </c>
      <c r="J62" s="19">
        <v>0.01</v>
      </c>
      <c r="K62" s="19">
        <v>0.01</v>
      </c>
      <c r="L62" s="19">
        <v>0.01</v>
      </c>
      <c r="M62" s="19">
        <v>0.01</v>
      </c>
    </row>
    <row r="63" spans="2:13" x14ac:dyDescent="0.3">
      <c r="B63" s="11" t="str">
        <f>"Current Case - "&amp; CHOOSE($H$5,$B$14,$B$15)</f>
        <v>Current Case - Base Case</v>
      </c>
      <c r="C63" s="11"/>
      <c r="D63" s="11"/>
      <c r="E63" s="11"/>
      <c r="F63" s="12"/>
      <c r="G63" s="12"/>
      <c r="H63" s="12"/>
      <c r="I63" s="12">
        <f t="shared" ref="I63:M63" si="29">CHOOSE($H$5,I61,I62)</f>
        <v>0.01</v>
      </c>
      <c r="J63" s="12">
        <f t="shared" si="29"/>
        <v>0.01</v>
      </c>
      <c r="K63" s="12">
        <f t="shared" si="29"/>
        <v>0.01</v>
      </c>
      <c r="L63" s="12">
        <f t="shared" si="29"/>
        <v>0.01</v>
      </c>
      <c r="M63" s="12">
        <f t="shared" si="29"/>
        <v>0.01</v>
      </c>
    </row>
    <row r="65" spans="2:13" x14ac:dyDescent="0.3">
      <c r="B65" s="11" t="s">
        <v>14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2:13" x14ac:dyDescent="0.3">
      <c r="B66" s="6" t="s">
        <v>380</v>
      </c>
      <c r="C66" s="7"/>
      <c r="D66" s="7"/>
      <c r="E66" s="7"/>
      <c r="F66" s="8"/>
      <c r="G66" s="8"/>
      <c r="H66" s="8"/>
      <c r="I66" s="19">
        <v>0.01</v>
      </c>
      <c r="J66" s="19">
        <v>0.01</v>
      </c>
      <c r="K66" s="19">
        <v>0.01</v>
      </c>
      <c r="L66" s="19">
        <v>0.01</v>
      </c>
      <c r="M66" s="19">
        <v>0.01</v>
      </c>
    </row>
    <row r="67" spans="2:13" x14ac:dyDescent="0.3">
      <c r="B67" s="6" t="s">
        <v>9</v>
      </c>
      <c r="C67" s="7"/>
      <c r="D67" s="7"/>
      <c r="E67" s="7"/>
      <c r="F67" s="8"/>
      <c r="G67" s="8"/>
      <c r="H67" s="8"/>
      <c r="I67" s="19">
        <v>0.01</v>
      </c>
      <c r="J67" s="19">
        <v>0.01</v>
      </c>
      <c r="K67" s="19">
        <v>0.01</v>
      </c>
      <c r="L67" s="19">
        <v>0.01</v>
      </c>
      <c r="M67" s="19">
        <v>0.01</v>
      </c>
    </row>
    <row r="68" spans="2:13" x14ac:dyDescent="0.3">
      <c r="B68" s="11" t="str">
        <f>"Current Case - "&amp; CHOOSE($H$5,$B$14,$B$15)</f>
        <v>Current Case - Base Case</v>
      </c>
      <c r="C68" s="11"/>
      <c r="D68" s="11"/>
      <c r="E68" s="11"/>
      <c r="F68" s="12"/>
      <c r="G68" s="12"/>
      <c r="H68" s="12"/>
      <c r="I68" s="12">
        <f t="shared" ref="I68:M68" si="30">CHOOSE($H$5,I66,I67)</f>
        <v>0.01</v>
      </c>
      <c r="J68" s="12">
        <f t="shared" si="30"/>
        <v>0.01</v>
      </c>
      <c r="K68" s="12">
        <f t="shared" si="30"/>
        <v>0.01</v>
      </c>
      <c r="L68" s="12">
        <f t="shared" si="30"/>
        <v>0.01</v>
      </c>
      <c r="M68" s="12">
        <f t="shared" si="30"/>
        <v>0.01</v>
      </c>
    </row>
    <row r="70" spans="2:13" ht="15.6" x14ac:dyDescent="0.3">
      <c r="B70" s="117" t="s">
        <v>16</v>
      </c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</row>
    <row r="72" spans="2:13" x14ac:dyDescent="0.3">
      <c r="B72" s="113" t="s">
        <v>17</v>
      </c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</row>
    <row r="73" spans="2:13" x14ac:dyDescent="0.3">
      <c r="B73" s="6" t="s">
        <v>380</v>
      </c>
      <c r="C73" s="7"/>
      <c r="D73" s="7"/>
      <c r="E73" s="7"/>
      <c r="F73" s="9"/>
      <c r="G73" s="9"/>
      <c r="H73" s="9"/>
      <c r="I73" s="10">
        <v>0.03</v>
      </c>
      <c r="J73" s="10">
        <v>0.03</v>
      </c>
      <c r="K73" s="10">
        <v>0.03</v>
      </c>
      <c r="L73" s="10">
        <v>0.03</v>
      </c>
      <c r="M73" s="10">
        <v>0.03</v>
      </c>
    </row>
    <row r="74" spans="2:13" x14ac:dyDescent="0.3">
      <c r="B74" s="6" t="s">
        <v>9</v>
      </c>
      <c r="C74" s="7"/>
      <c r="D74" s="7"/>
      <c r="E74" s="7"/>
      <c r="F74" s="9"/>
      <c r="G74" s="9"/>
      <c r="H74" s="9"/>
      <c r="I74" s="10">
        <v>0.01</v>
      </c>
      <c r="J74" s="10">
        <v>0.01</v>
      </c>
      <c r="K74" s="10">
        <v>0.01</v>
      </c>
      <c r="L74" s="10">
        <v>0.01</v>
      </c>
      <c r="M74" s="10">
        <v>0.01</v>
      </c>
    </row>
    <row r="75" spans="2:13" x14ac:dyDescent="0.3">
      <c r="B75" s="11" t="str">
        <f>"Current Case - "&amp; CHOOSE($H$5,$B$14,$B$15)</f>
        <v>Current Case - Base Case</v>
      </c>
      <c r="C75" s="7"/>
      <c r="D75" s="7"/>
      <c r="E75" s="7"/>
      <c r="F75" s="12"/>
      <c r="G75" s="12"/>
      <c r="H75" s="12"/>
      <c r="I75" s="12">
        <f t="shared" ref="I75" si="31">CHOOSE($H$5,I73,I74)</f>
        <v>0.03</v>
      </c>
      <c r="J75" s="12">
        <f t="shared" ref="J75" si="32">CHOOSE($H$5,J73,J74)</f>
        <v>0.03</v>
      </c>
      <c r="K75" s="12">
        <f t="shared" ref="K75" si="33">CHOOSE($H$5,K73,K74)</f>
        <v>0.03</v>
      </c>
      <c r="L75" s="12">
        <f t="shared" ref="L75" si="34">CHOOSE($H$5,L73,L74)</f>
        <v>0.03</v>
      </c>
      <c r="M75" s="12">
        <f t="shared" ref="M75" si="35">CHOOSE($H$5,M73,M74)</f>
        <v>0.03</v>
      </c>
    </row>
    <row r="77" spans="2:13" ht="15.6" x14ac:dyDescent="0.3">
      <c r="B77" s="117" t="s">
        <v>381</v>
      </c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</row>
    <row r="79" spans="2:13" x14ac:dyDescent="0.3">
      <c r="B79" s="113" t="s">
        <v>381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</row>
    <row r="80" spans="2:13" x14ac:dyDescent="0.3">
      <c r="B80" s="6" t="s">
        <v>380</v>
      </c>
      <c r="C80" s="7"/>
      <c r="D80" s="7"/>
      <c r="E80" s="7"/>
      <c r="F80" s="9"/>
      <c r="G80" s="9"/>
      <c r="H80" s="9"/>
      <c r="I80" s="10">
        <v>0.25</v>
      </c>
      <c r="J80" s="10">
        <v>0.25</v>
      </c>
      <c r="K80" s="10">
        <v>0.25</v>
      </c>
      <c r="L80" s="10">
        <v>0.25</v>
      </c>
      <c r="M80" s="10">
        <v>0.25</v>
      </c>
    </row>
    <row r="81" spans="2:13" x14ac:dyDescent="0.3">
      <c r="B81" s="6" t="s">
        <v>9</v>
      </c>
      <c r="C81" s="7"/>
      <c r="D81" s="7"/>
      <c r="E81" s="7"/>
      <c r="F81" s="9"/>
      <c r="G81" s="9"/>
      <c r="H81" s="9"/>
      <c r="I81" s="10">
        <v>0.25</v>
      </c>
      <c r="J81" s="10">
        <v>0.25</v>
      </c>
      <c r="K81" s="10">
        <v>0.25</v>
      </c>
      <c r="L81" s="10">
        <v>0.25</v>
      </c>
      <c r="M81" s="10">
        <v>0.25</v>
      </c>
    </row>
    <row r="82" spans="2:13" x14ac:dyDescent="0.3">
      <c r="B82" s="11" t="str">
        <f>"Current Case - "&amp; CHOOSE($H$5,$B$14,$B$15)</f>
        <v>Current Case - Base Case</v>
      </c>
      <c r="C82" s="7"/>
      <c r="D82" s="7"/>
      <c r="E82" s="7"/>
      <c r="F82" s="12"/>
      <c r="G82" s="12"/>
      <c r="H82" s="12"/>
      <c r="I82" s="12">
        <f t="shared" ref="I82:M82" si="36">CHOOSE($H$5,I80,I81)</f>
        <v>0.25</v>
      </c>
      <c r="J82" s="12">
        <f t="shared" si="36"/>
        <v>0.25</v>
      </c>
      <c r="K82" s="12">
        <f t="shared" si="36"/>
        <v>0.25</v>
      </c>
      <c r="L82" s="12">
        <f t="shared" si="36"/>
        <v>0.25</v>
      </c>
      <c r="M82" s="12">
        <f t="shared" si="36"/>
        <v>0.25</v>
      </c>
    </row>
  </sheetData>
  <mergeCells count="2">
    <mergeCell ref="I8:M8"/>
    <mergeCell ref="F8:H8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7</xdr:col>
                    <xdr:colOff>60960</xdr:colOff>
                    <xdr:row>4</xdr:row>
                    <xdr:rowOff>45720</xdr:rowOff>
                  </from>
                  <to>
                    <xdr:col>9</xdr:col>
                    <xdr:colOff>190500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FFC5-28DA-4018-B024-FDCD143226B1}">
  <sheetPr codeName="Sheet1"/>
  <dimension ref="B2:K216"/>
  <sheetViews>
    <sheetView showGridLines="0" zoomScaleNormal="100" workbookViewId="0">
      <pane ySplit="9" topLeftCell="A10" activePane="bottomLeft" state="frozen"/>
      <selection pane="bottomLeft" activeCell="B3" sqref="B3"/>
    </sheetView>
  </sheetViews>
  <sheetFormatPr defaultRowHeight="14.4" outlineLevelRow="1" x14ac:dyDescent="0.3"/>
  <cols>
    <col min="1" max="1" width="1.88671875" customWidth="1"/>
    <col min="2" max="2" width="46.33203125" customWidth="1"/>
    <col min="3" max="3" width="19.21875" customWidth="1"/>
    <col min="4" max="6" width="12.77734375" customWidth="1"/>
    <col min="7" max="7" width="16.77734375" customWidth="1"/>
    <col min="8" max="8" width="15.5546875" customWidth="1"/>
    <col min="9" max="9" width="15.6640625" customWidth="1"/>
    <col min="10" max="10" width="15.77734375" customWidth="1"/>
    <col min="11" max="11" width="15.5546875" customWidth="1"/>
  </cols>
  <sheetData>
    <row r="2" spans="2:11" ht="21" x14ac:dyDescent="0.4">
      <c r="B2" s="116" t="str">
        <f>'Control Sheet'!B2</f>
        <v>Shiprocket</v>
      </c>
    </row>
    <row r="3" spans="2:11" x14ac:dyDescent="0.3">
      <c r="B3" s="20" t="s">
        <v>18</v>
      </c>
    </row>
    <row r="4" spans="2:11" ht="18" x14ac:dyDescent="0.35">
      <c r="B4" s="1"/>
    </row>
    <row r="5" spans="2:11" ht="18" x14ac:dyDescent="0.35">
      <c r="B5" s="1"/>
      <c r="F5" t="s">
        <v>1</v>
      </c>
      <c r="G5">
        <v>0</v>
      </c>
    </row>
    <row r="8" spans="2:11" x14ac:dyDescent="0.3">
      <c r="D8" s="197" t="s">
        <v>3</v>
      </c>
      <c r="E8" s="197"/>
      <c r="F8" s="197"/>
      <c r="G8" s="196" t="s">
        <v>4</v>
      </c>
      <c r="H8" s="196"/>
      <c r="I8" s="196"/>
      <c r="J8" s="196"/>
      <c r="K8" s="196"/>
    </row>
    <row r="9" spans="2:11" x14ac:dyDescent="0.3">
      <c r="B9" s="118" t="s">
        <v>318</v>
      </c>
      <c r="D9" s="22">
        <v>2024</v>
      </c>
      <c r="E9" s="22">
        <v>2025</v>
      </c>
      <c r="F9" s="22">
        <f>E9+1</f>
        <v>2026</v>
      </c>
      <c r="G9" s="3">
        <f t="shared" ref="G9:K9" si="0">F9+1</f>
        <v>2027</v>
      </c>
      <c r="H9" s="3">
        <f t="shared" si="0"/>
        <v>2028</v>
      </c>
      <c r="I9" s="3">
        <f t="shared" si="0"/>
        <v>2029</v>
      </c>
      <c r="J9" s="3">
        <f t="shared" si="0"/>
        <v>2030</v>
      </c>
      <c r="K9" s="3">
        <f t="shared" si="0"/>
        <v>2031</v>
      </c>
    </row>
    <row r="10" spans="2:1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2:11" ht="15.6" x14ac:dyDescent="0.3">
      <c r="B11" s="117" t="s">
        <v>19</v>
      </c>
      <c r="C11" s="109"/>
      <c r="D11" s="109"/>
      <c r="E11" s="109"/>
      <c r="F11" s="109"/>
      <c r="G11" s="109"/>
      <c r="H11" s="109"/>
      <c r="I11" s="109"/>
      <c r="J11" s="109"/>
      <c r="K11" s="109"/>
    </row>
    <row r="12" spans="2:11" s="5" customFormat="1" ht="15.6" x14ac:dyDescent="0.3">
      <c r="B12" s="17"/>
      <c r="C12" s="153"/>
      <c r="D12" s="18"/>
      <c r="E12" s="18"/>
      <c r="F12" s="18"/>
      <c r="G12" s="137"/>
      <c r="H12" s="137"/>
      <c r="I12" s="137"/>
      <c r="J12" s="137"/>
      <c r="K12" s="137"/>
    </row>
    <row r="13" spans="2:11" x14ac:dyDescent="0.3">
      <c r="B13" s="20" t="s">
        <v>20</v>
      </c>
      <c r="C13" s="23"/>
      <c r="D13" s="23">
        <f>'Income Statement'!C9</f>
        <v>13159.76</v>
      </c>
      <c r="E13" s="23">
        <f>'Income Statement'!D9</f>
        <v>16320.12</v>
      </c>
      <c r="F13" s="23">
        <f>'Income Statement'!E9</f>
        <v>20241.41</v>
      </c>
      <c r="G13" s="24">
        <f>G15+G17</f>
        <v>26875.591200000003</v>
      </c>
      <c r="H13" s="24">
        <f t="shared" ref="H13:K13" si="1">H15+H17</f>
        <v>36679.999560000004</v>
      </c>
      <c r="I13" s="24">
        <f t="shared" si="1"/>
        <v>51157.955248800004</v>
      </c>
      <c r="J13" s="24">
        <f t="shared" si="1"/>
        <v>72684.432801792005</v>
      </c>
      <c r="K13" s="24">
        <f t="shared" si="1"/>
        <v>105422.57252868096</v>
      </c>
    </row>
    <row r="14" spans="2:11" x14ac:dyDescent="0.3">
      <c r="B14" t="s">
        <v>355</v>
      </c>
      <c r="C14" s="23"/>
      <c r="D14" s="25"/>
      <c r="E14" s="27">
        <f>E13/D13-1</f>
        <v>0.2401533158659428</v>
      </c>
      <c r="F14" s="27">
        <f>F13/E13-1</f>
        <v>0.24027335583316778</v>
      </c>
      <c r="G14" s="26">
        <f>'Control Sheet'!I16</f>
        <v>0.33</v>
      </c>
      <c r="H14" s="26">
        <f>'Control Sheet'!J16</f>
        <v>0.36</v>
      </c>
      <c r="I14" s="26">
        <f>'Control Sheet'!K16</f>
        <v>0.39</v>
      </c>
      <c r="J14" s="26">
        <f>'Control Sheet'!L16</f>
        <v>0.42</v>
      </c>
      <c r="K14" s="26">
        <f>'Control Sheet'!M16</f>
        <v>0.45</v>
      </c>
    </row>
    <row r="15" spans="2:11" x14ac:dyDescent="0.3">
      <c r="B15" s="20" t="s">
        <v>356</v>
      </c>
      <c r="C15" s="20"/>
      <c r="D15" s="23">
        <v>10846.58</v>
      </c>
      <c r="E15" s="23">
        <v>13059.27</v>
      </c>
      <c r="F15" s="23">
        <v>14854.12</v>
      </c>
      <c r="G15" s="24">
        <f>F15*G16+(F15)</f>
        <v>17824.944000000003</v>
      </c>
      <c r="H15" s="24">
        <f t="shared" ref="H15:K15" si="2">G15*H16+(G15)</f>
        <v>21746.431680000005</v>
      </c>
      <c r="I15" s="24">
        <f t="shared" si="2"/>
        <v>26965.575283200007</v>
      </c>
      <c r="J15" s="24">
        <f t="shared" si="2"/>
        <v>33976.624856832008</v>
      </c>
      <c r="K15" s="24">
        <f t="shared" si="2"/>
        <v>43490.079816744968</v>
      </c>
    </row>
    <row r="16" spans="2:11" x14ac:dyDescent="0.3">
      <c r="B16" s="20"/>
      <c r="C16" s="20"/>
      <c r="D16" s="23"/>
      <c r="E16" s="27">
        <f>E15/D15-1</f>
        <v>0.20399886415810342</v>
      </c>
      <c r="F16" s="27">
        <f>F15/E15-1</f>
        <v>0.13743876954837453</v>
      </c>
      <c r="G16" s="26">
        <f>'Control Sheet'!I21</f>
        <v>0.2</v>
      </c>
      <c r="H16" s="26">
        <f>'Control Sheet'!J21</f>
        <v>0.22</v>
      </c>
      <c r="I16" s="26">
        <f>'Control Sheet'!K21</f>
        <v>0.24</v>
      </c>
      <c r="J16" s="26">
        <f>'Control Sheet'!L21</f>
        <v>0.26</v>
      </c>
      <c r="K16" s="26">
        <f>'Control Sheet'!M21</f>
        <v>0.28000000000000003</v>
      </c>
    </row>
    <row r="17" spans="2:11" x14ac:dyDescent="0.3">
      <c r="B17" s="20" t="s">
        <v>323</v>
      </c>
      <c r="C17" s="20"/>
      <c r="D17" s="23">
        <v>2313.1799999999998</v>
      </c>
      <c r="E17" s="23">
        <v>3260.85</v>
      </c>
      <c r="F17" s="23">
        <v>5387.29</v>
      </c>
      <c r="G17" s="24">
        <f t="shared" ref="G17:K17" si="3">F17*G18+(F17)</f>
        <v>9050.6471999999994</v>
      </c>
      <c r="H17" s="24">
        <f t="shared" si="3"/>
        <v>14933.567879999999</v>
      </c>
      <c r="I17" s="24">
        <f t="shared" si="3"/>
        <v>24192.379965599997</v>
      </c>
      <c r="J17" s="24">
        <f t="shared" si="3"/>
        <v>38707.807944959997</v>
      </c>
      <c r="K17" s="24">
        <f t="shared" si="3"/>
        <v>61932.492711935993</v>
      </c>
    </row>
    <row r="18" spans="2:11" x14ac:dyDescent="0.3">
      <c r="B18" s="20"/>
      <c r="C18" s="20"/>
      <c r="D18" s="23"/>
      <c r="E18" s="27">
        <f>E17/D17-1</f>
        <v>0.40968277436256595</v>
      </c>
      <c r="F18" s="27">
        <f>F17/E17-1</f>
        <v>0.65211217933974264</v>
      </c>
      <c r="G18" s="26">
        <f>'Control Sheet'!I26</f>
        <v>0.68</v>
      </c>
      <c r="H18" s="26">
        <f>'Control Sheet'!J26</f>
        <v>0.65</v>
      </c>
      <c r="I18" s="26">
        <f>'Control Sheet'!K26</f>
        <v>0.62</v>
      </c>
      <c r="J18" s="26">
        <f>'Control Sheet'!L26</f>
        <v>0.6</v>
      </c>
      <c r="K18" s="26">
        <f>'Control Sheet'!M26</f>
        <v>0.6</v>
      </c>
    </row>
    <row r="19" spans="2:11" x14ac:dyDescent="0.3">
      <c r="D19" s="27"/>
      <c r="E19" s="27"/>
      <c r="F19" s="27"/>
    </row>
    <row r="20" spans="2:11" ht="15.6" outlineLevel="1" x14ac:dyDescent="0.3">
      <c r="B20" s="117" t="s">
        <v>21</v>
      </c>
      <c r="C20" s="109"/>
      <c r="D20" s="109"/>
      <c r="E20" s="109"/>
      <c r="F20" s="109"/>
      <c r="G20" s="109"/>
      <c r="H20" s="109"/>
      <c r="I20" s="109"/>
      <c r="J20" s="109"/>
      <c r="K20" s="109"/>
    </row>
    <row r="21" spans="2:11" ht="15.6" outlineLevel="1" x14ac:dyDescent="0.3">
      <c r="B21" s="17"/>
      <c r="C21" s="18"/>
      <c r="D21" s="21"/>
      <c r="E21" s="43"/>
      <c r="F21" s="21"/>
      <c r="G21" s="18"/>
      <c r="H21" s="18"/>
      <c r="I21" s="18"/>
      <c r="J21" s="18"/>
      <c r="K21" s="18"/>
    </row>
    <row r="22" spans="2:11" outlineLevel="1" x14ac:dyDescent="0.3">
      <c r="B22" s="20" t="s">
        <v>198</v>
      </c>
      <c r="C22" s="18"/>
      <c r="D22" s="42">
        <f>'Income Statement'!C14</f>
        <v>10070.370000000001</v>
      </c>
      <c r="E22" s="42">
        <f>'Income Statement'!D14</f>
        <v>12129.31</v>
      </c>
      <c r="F22" s="42">
        <f>'Income Statement'!E14</f>
        <v>14941.29</v>
      </c>
      <c r="G22" s="139">
        <f>G$13*G23</f>
        <v>18141.024060000003</v>
      </c>
      <c r="H22" s="139">
        <f t="shared" ref="H22:K22" si="4">H$13*H23</f>
        <v>24392.199707400003</v>
      </c>
      <c r="I22" s="139">
        <f t="shared" si="4"/>
        <v>33508.460687964005</v>
      </c>
      <c r="J22" s="139">
        <f t="shared" si="4"/>
        <v>47244.881321164808</v>
      </c>
      <c r="K22" s="139">
        <f t="shared" si="4"/>
        <v>68524.672143642631</v>
      </c>
    </row>
    <row r="23" spans="2:11" outlineLevel="1" x14ac:dyDescent="0.3">
      <c r="B23" t="s">
        <v>357</v>
      </c>
      <c r="C23" s="18"/>
      <c r="D23" s="137">
        <f>D22/D$13</f>
        <v>0.76523963962868624</v>
      </c>
      <c r="E23" s="137">
        <f>E22/E$13</f>
        <v>0.74321205971524718</v>
      </c>
      <c r="F23" s="137">
        <f t="shared" ref="F23" si="5">F22/F$13</f>
        <v>0.7381546048422517</v>
      </c>
      <c r="G23" s="26">
        <f>'Control Sheet'!I34</f>
        <v>0.67500000000000004</v>
      </c>
      <c r="H23" s="26">
        <f>'Control Sheet'!J34</f>
        <v>0.66500000000000004</v>
      </c>
      <c r="I23" s="26">
        <f>'Control Sheet'!K34</f>
        <v>0.65500000000000003</v>
      </c>
      <c r="J23" s="26">
        <f>'Control Sheet'!L34</f>
        <v>0.65</v>
      </c>
      <c r="K23" s="26">
        <f>'Control Sheet'!M34</f>
        <v>0.65</v>
      </c>
    </row>
    <row r="24" spans="2:11" outlineLevel="1" x14ac:dyDescent="0.3">
      <c r="C24" s="18"/>
      <c r="D24" s="21"/>
      <c r="E24" s="21"/>
      <c r="F24" s="21"/>
      <c r="G24" s="18"/>
      <c r="H24" s="18"/>
      <c r="I24" s="18"/>
      <c r="J24" s="18"/>
      <c r="K24" s="18"/>
    </row>
    <row r="25" spans="2:11" outlineLevel="1" x14ac:dyDescent="0.3">
      <c r="B25" s="20" t="s">
        <v>199</v>
      </c>
      <c r="C25" s="18"/>
      <c r="D25" s="21">
        <f>'Income Statement'!C15</f>
        <v>55.67</v>
      </c>
      <c r="E25" s="21">
        <f>'Income Statement'!D15</f>
        <v>79.67</v>
      </c>
      <c r="F25" s="21">
        <f>'Income Statement'!E15</f>
        <v>217.69</v>
      </c>
      <c r="G25" s="139">
        <f t="shared" ref="G25:K25" si="6">G$13*G26</f>
        <v>268.75591200000002</v>
      </c>
      <c r="H25" s="139">
        <f t="shared" si="6"/>
        <v>366.79999560000005</v>
      </c>
      <c r="I25" s="139">
        <f t="shared" si="6"/>
        <v>511.57955248800005</v>
      </c>
      <c r="J25" s="139">
        <f t="shared" si="6"/>
        <v>726.84432801792002</v>
      </c>
      <c r="K25" s="139">
        <f t="shared" si="6"/>
        <v>1054.2257252868096</v>
      </c>
    </row>
    <row r="26" spans="2:11" outlineLevel="1" x14ac:dyDescent="0.3">
      <c r="B26" t="s">
        <v>358</v>
      </c>
      <c r="C26" s="18"/>
      <c r="D26" s="137">
        <f t="shared" ref="D26:F26" si="7">D25/D$13</f>
        <v>4.2303203097928841E-3</v>
      </c>
      <c r="E26" s="137">
        <f t="shared" si="7"/>
        <v>4.8817043011938639E-3</v>
      </c>
      <c r="F26" s="137">
        <f t="shared" si="7"/>
        <v>1.0754685567853228E-2</v>
      </c>
      <c r="G26" s="26">
        <f>'Control Sheet'!I39</f>
        <v>0.01</v>
      </c>
      <c r="H26" s="26">
        <f>'Control Sheet'!J39</f>
        <v>0.01</v>
      </c>
      <c r="I26" s="26">
        <f>'Control Sheet'!K39</f>
        <v>0.01</v>
      </c>
      <c r="J26" s="26">
        <f>'Control Sheet'!L39</f>
        <v>0.01</v>
      </c>
      <c r="K26" s="26">
        <f>'Control Sheet'!M39</f>
        <v>0.01</v>
      </c>
    </row>
    <row r="27" spans="2:11" outlineLevel="1" x14ac:dyDescent="0.3">
      <c r="C27" s="18"/>
      <c r="D27" s="21"/>
      <c r="E27" s="21"/>
      <c r="F27" s="21"/>
      <c r="G27" s="18"/>
      <c r="H27" s="18"/>
      <c r="I27" s="18"/>
      <c r="J27" s="18"/>
      <c r="K27" s="18"/>
    </row>
    <row r="28" spans="2:11" outlineLevel="1" x14ac:dyDescent="0.3">
      <c r="B28" s="20" t="s">
        <v>200</v>
      </c>
      <c r="C28" s="18"/>
      <c r="D28" s="138">
        <f>'Income Statement'!C16</f>
        <v>-2.59</v>
      </c>
      <c r="E28" s="138">
        <f>'Income Statement'!D16</f>
        <v>-2.2799999999999998</v>
      </c>
      <c r="F28" s="138">
        <f>'Income Statement'!E16</f>
        <v>-9.0299999999999994</v>
      </c>
      <c r="G28" s="139">
        <f t="shared" ref="G28" si="8">G$13*G29</f>
        <v>0</v>
      </c>
      <c r="H28" s="139">
        <f t="shared" ref="H28" si="9">H$13*H29</f>
        <v>0</v>
      </c>
      <c r="I28" s="139">
        <f t="shared" ref="I28" si="10">I$13*I29</f>
        <v>0</v>
      </c>
      <c r="J28" s="139">
        <f t="shared" ref="J28" si="11">J$13*J29</f>
        <v>0</v>
      </c>
      <c r="K28" s="139">
        <f t="shared" ref="K28" si="12">K$13*K29</f>
        <v>0</v>
      </c>
    </row>
    <row r="29" spans="2:11" outlineLevel="1" x14ac:dyDescent="0.3">
      <c r="B29" t="s">
        <v>359</v>
      </c>
      <c r="C29" s="18"/>
      <c r="D29" s="137">
        <f t="shared" ref="D29" si="13">D28/D$13</f>
        <v>-1.9681209991671578E-4</v>
      </c>
      <c r="E29" s="137">
        <f t="shared" ref="E29" si="14">E28/E$13</f>
        <v>-1.3970485511135945E-4</v>
      </c>
      <c r="F29" s="137">
        <f t="shared" ref="F29" si="15">F28/F$13</f>
        <v>-4.4611516687819672E-4</v>
      </c>
      <c r="G29" s="26">
        <f>'Control Sheet'!I44</f>
        <v>0</v>
      </c>
      <c r="H29" s="26">
        <f>'Control Sheet'!J44</f>
        <v>0</v>
      </c>
      <c r="I29" s="26">
        <f>'Control Sheet'!K44</f>
        <v>0</v>
      </c>
      <c r="J29" s="26">
        <f>'Control Sheet'!L44</f>
        <v>0</v>
      </c>
      <c r="K29" s="26">
        <f>'Control Sheet'!M44</f>
        <v>0</v>
      </c>
    </row>
    <row r="30" spans="2:11" outlineLevel="1" x14ac:dyDescent="0.3"/>
    <row r="31" spans="2:11" outlineLevel="1" x14ac:dyDescent="0.3">
      <c r="B31" s="20" t="s">
        <v>22</v>
      </c>
      <c r="D31" s="111">
        <f>'Income Statement'!C17</f>
        <v>4307.91</v>
      </c>
      <c r="E31" s="111">
        <f>'Income Statement'!D17</f>
        <v>3149.16</v>
      </c>
      <c r="F31" s="111">
        <f>'Income Statement'!E17</f>
        <v>3794.77</v>
      </c>
      <c r="G31" s="139">
        <f t="shared" ref="G31" si="16">G$13*G32</f>
        <v>5375.1182400000007</v>
      </c>
      <c r="H31" s="139">
        <f t="shared" ref="H31" si="17">H$13*H32</f>
        <v>7335.9999120000011</v>
      </c>
      <c r="I31" s="139">
        <f t="shared" ref="I31" si="18">I$13*I32</f>
        <v>10231.591049760002</v>
      </c>
      <c r="J31" s="139">
        <f t="shared" ref="J31" si="19">J$13*J32</f>
        <v>14536.886560358402</v>
      </c>
      <c r="K31" s="139">
        <f t="shared" ref="K31" si="20">K$13*K32</f>
        <v>21084.514505736195</v>
      </c>
    </row>
    <row r="32" spans="2:11" x14ac:dyDescent="0.3">
      <c r="B32" t="s">
        <v>23</v>
      </c>
      <c r="D32" s="137">
        <f t="shared" ref="D32" si="21">D31/D$13</f>
        <v>0.327354754190046</v>
      </c>
      <c r="E32" s="137">
        <f t="shared" ref="E32" si="22">E31/E$13</f>
        <v>0.19296181645723193</v>
      </c>
      <c r="F32" s="137">
        <f t="shared" ref="F32" si="23">F31/F$13</f>
        <v>0.1874755760591777</v>
      </c>
      <c r="G32" s="26">
        <v>0.2</v>
      </c>
      <c r="H32" s="26">
        <v>0.2</v>
      </c>
      <c r="I32" s="26">
        <v>0.2</v>
      </c>
      <c r="J32" s="26">
        <v>0.2</v>
      </c>
      <c r="K32" s="26">
        <v>0.2</v>
      </c>
    </row>
    <row r="33" spans="2:11" outlineLevel="1" x14ac:dyDescent="0.3"/>
    <row r="34" spans="2:11" outlineLevel="1" x14ac:dyDescent="0.3">
      <c r="B34" s="20" t="s">
        <v>24</v>
      </c>
      <c r="D34" s="23">
        <f>'Income Statement'!C20</f>
        <v>1660.07</v>
      </c>
      <c r="E34" s="23">
        <f>'Income Statement'!D20</f>
        <v>1563.95</v>
      </c>
      <c r="F34" s="23">
        <f>'Income Statement'!E20</f>
        <v>1962.02</v>
      </c>
      <c r="G34" s="139">
        <f t="shared" ref="G34" si="24">G$13*G35</f>
        <v>2687.5591200000003</v>
      </c>
      <c r="H34" s="139">
        <f t="shared" ref="H34" si="25">H$13*H35</f>
        <v>3667.9999560000006</v>
      </c>
      <c r="I34" s="139">
        <f t="shared" ref="I34" si="26">I$13*I35</f>
        <v>5115.7955248800008</v>
      </c>
      <c r="J34" s="139">
        <f t="shared" ref="J34" si="27">J$13*J35</f>
        <v>7268.4432801792009</v>
      </c>
      <c r="K34" s="139">
        <f t="shared" ref="K34" si="28">K$13*K35</f>
        <v>10542.257252868098</v>
      </c>
    </row>
    <row r="35" spans="2:11" outlineLevel="1" x14ac:dyDescent="0.3">
      <c r="B35" t="s">
        <v>25</v>
      </c>
      <c r="D35" s="137">
        <f t="shared" ref="D35" si="29">D34/D$13</f>
        <v>0.12614743733928277</v>
      </c>
      <c r="E35" s="137">
        <f t="shared" ref="E35" si="30">E34/E$13</f>
        <v>9.5829564978688886E-2</v>
      </c>
      <c r="F35" s="137">
        <f t="shared" ref="F35" si="31">F34/F$13</f>
        <v>9.693099443171202E-2</v>
      </c>
      <c r="G35" s="26">
        <v>0.1</v>
      </c>
      <c r="H35" s="26">
        <v>0.1</v>
      </c>
      <c r="I35" s="26">
        <v>0.1</v>
      </c>
      <c r="J35" s="26">
        <v>0.1</v>
      </c>
      <c r="K35" s="26">
        <v>0.1</v>
      </c>
    </row>
    <row r="36" spans="2:11" outlineLevel="1" x14ac:dyDescent="0.3"/>
    <row r="37" spans="2:11" ht="15" outlineLevel="1" thickBot="1" x14ac:dyDescent="0.35">
      <c r="B37" s="30" t="s">
        <v>26</v>
      </c>
      <c r="C37" s="31"/>
      <c r="D37" s="32">
        <f>D22+D25+D28+D31+D34</f>
        <v>16091.43</v>
      </c>
      <c r="E37" s="32">
        <f>E22+E25+E28+E31+E34</f>
        <v>16919.809999999998</v>
      </c>
      <c r="F37" s="32">
        <f t="shared" ref="F37:K37" si="32">F22+F25+F28+F31+F34</f>
        <v>20906.740000000002</v>
      </c>
      <c r="G37" s="32">
        <f t="shared" si="32"/>
        <v>26472.457332000005</v>
      </c>
      <c r="H37" s="32">
        <f t="shared" si="32"/>
        <v>35762.999571</v>
      </c>
      <c r="I37" s="32">
        <f t="shared" si="32"/>
        <v>49367.426815092011</v>
      </c>
      <c r="J37" s="32">
        <f t="shared" si="32"/>
        <v>69777.055489720326</v>
      </c>
      <c r="K37" s="32">
        <f t="shared" si="32"/>
        <v>101205.66962753373</v>
      </c>
    </row>
    <row r="38" spans="2:11" outlineLevel="1" x14ac:dyDescent="0.3"/>
    <row r="39" spans="2:11" ht="15.6" outlineLevel="1" x14ac:dyDescent="0.3">
      <c r="B39" s="117" t="s">
        <v>27</v>
      </c>
      <c r="C39" s="109"/>
      <c r="D39" s="109"/>
      <c r="E39" s="109"/>
      <c r="F39" s="109"/>
      <c r="G39" s="109"/>
      <c r="H39" s="109"/>
      <c r="I39" s="109"/>
      <c r="J39" s="109"/>
      <c r="K39" s="109"/>
    </row>
    <row r="40" spans="2:11" s="5" customFormat="1" ht="15.6" outlineLevel="1" x14ac:dyDescent="0.3">
      <c r="B40" s="17"/>
      <c r="C40" s="18"/>
      <c r="D40" s="18"/>
      <c r="E40" s="18"/>
      <c r="F40" s="18"/>
      <c r="G40" s="18"/>
      <c r="H40" s="18"/>
      <c r="I40" s="18"/>
      <c r="J40" s="18"/>
      <c r="K40" s="18"/>
    </row>
    <row r="41" spans="2:11" ht="15.6" outlineLevel="1" x14ac:dyDescent="0.3">
      <c r="B41" s="34" t="s">
        <v>28</v>
      </c>
      <c r="C41" s="57">
        <v>4</v>
      </c>
      <c r="D41" s="5"/>
      <c r="E41" s="5"/>
      <c r="F41" s="35"/>
      <c r="G41" s="36">
        <f>'Balance Sheet'!E10</f>
        <v>245.04</v>
      </c>
      <c r="H41" s="37">
        <f>G44</f>
        <v>345.89693400000004</v>
      </c>
      <c r="I41" s="37">
        <f t="shared" ref="I41:K41" si="33">H44</f>
        <v>453.09795270000006</v>
      </c>
      <c r="J41" s="37">
        <f t="shared" si="33"/>
        <v>577.18364016600015</v>
      </c>
      <c r="K41" s="37">
        <f t="shared" si="33"/>
        <v>734.82302115744017</v>
      </c>
    </row>
    <row r="42" spans="2:11" s="5" customFormat="1" ht="15.6" outlineLevel="1" x14ac:dyDescent="0.3">
      <c r="B42" s="34" t="s">
        <v>29</v>
      </c>
      <c r="G42" s="37">
        <f>G13*G45</f>
        <v>268.75591200000002</v>
      </c>
      <c r="H42" s="37">
        <f>H13*H45</f>
        <v>366.79999560000005</v>
      </c>
      <c r="I42" s="37">
        <f>I13*I45</f>
        <v>511.57955248800005</v>
      </c>
      <c r="J42" s="37">
        <f>J13*J45</f>
        <v>726.84432801792002</v>
      </c>
      <c r="K42" s="37">
        <f>K13*K45</f>
        <v>1054.2257252868096</v>
      </c>
    </row>
    <row r="43" spans="2:11" s="5" customFormat="1" ht="15.6" outlineLevel="1" x14ac:dyDescent="0.3">
      <c r="B43" s="38" t="s">
        <v>30</v>
      </c>
      <c r="C43" s="39"/>
      <c r="D43" s="39"/>
      <c r="E43" s="39"/>
      <c r="F43" s="40"/>
      <c r="G43" s="41">
        <f>G77</f>
        <v>167.898978</v>
      </c>
      <c r="H43" s="41">
        <f t="shared" ref="H43:K43" si="34">H77</f>
        <v>259.59897690000003</v>
      </c>
      <c r="I43" s="41">
        <f t="shared" si="34"/>
        <v>387.49386502200002</v>
      </c>
      <c r="J43" s="41">
        <f t="shared" si="34"/>
        <v>569.20494702648</v>
      </c>
      <c r="K43" s="41">
        <f t="shared" si="34"/>
        <v>832.76137834818246</v>
      </c>
    </row>
    <row r="44" spans="2:11" s="5" customFormat="1" ht="15.6" outlineLevel="1" x14ac:dyDescent="0.3">
      <c r="B44" s="33" t="s">
        <v>31</v>
      </c>
      <c r="C44" s="21"/>
      <c r="D44" s="42"/>
      <c r="E44" s="42"/>
      <c r="F44" s="42"/>
      <c r="G44" s="43">
        <f>G41+G42-G43</f>
        <v>345.89693400000004</v>
      </c>
      <c r="H44" s="43">
        <f t="shared" ref="H44:K44" si="35">H41+H42-H43</f>
        <v>453.09795270000006</v>
      </c>
      <c r="I44" s="43">
        <f t="shared" si="35"/>
        <v>577.18364016600015</v>
      </c>
      <c r="J44" s="43">
        <f t="shared" si="35"/>
        <v>734.82302115744017</v>
      </c>
      <c r="K44" s="43">
        <f t="shared" si="35"/>
        <v>956.28736809606744</v>
      </c>
    </row>
    <row r="45" spans="2:11" s="5" customFormat="1" outlineLevel="1" x14ac:dyDescent="0.3">
      <c r="G45" s="44">
        <v>0.01</v>
      </c>
      <c r="H45" s="44">
        <v>0.01</v>
      </c>
      <c r="I45" s="44">
        <v>0.01</v>
      </c>
      <c r="J45" s="44">
        <v>0.01</v>
      </c>
      <c r="K45" s="44">
        <v>0.01</v>
      </c>
    </row>
    <row r="46" spans="2:11" s="5" customFormat="1" outlineLevel="1" x14ac:dyDescent="0.3">
      <c r="G46" s="45"/>
      <c r="H46" s="45"/>
      <c r="I46" s="45"/>
      <c r="J46" s="45"/>
      <c r="K46" s="45"/>
    </row>
    <row r="47" spans="2:11" s="5" customFormat="1" x14ac:dyDescent="0.3">
      <c r="B47" t="s">
        <v>32</v>
      </c>
      <c r="C47" s="57">
        <v>5</v>
      </c>
      <c r="G47" s="37">
        <f>'Balance Sheet'!E13</f>
        <v>885.54</v>
      </c>
      <c r="H47" s="37">
        <f>G50</f>
        <v>846.25472960000002</v>
      </c>
      <c r="I47" s="37">
        <f t="shared" ref="I47:K47" si="36">H50</f>
        <v>831.6535436800001</v>
      </c>
      <c r="J47" s="37">
        <f t="shared" si="36"/>
        <v>859.51600415040014</v>
      </c>
      <c r="K47" s="37">
        <f t="shared" si="36"/>
        <v>957.27437454713606</v>
      </c>
    </row>
    <row r="48" spans="2:11" s="5" customFormat="1" ht="15.6" x14ac:dyDescent="0.3">
      <c r="B48" s="34" t="s">
        <v>33</v>
      </c>
      <c r="G48" s="37">
        <f>G13*G51</f>
        <v>268.75591200000002</v>
      </c>
      <c r="H48" s="37">
        <f>H13*H51</f>
        <v>366.79999560000005</v>
      </c>
      <c r="I48" s="37">
        <f>I13*I51</f>
        <v>511.57955248800005</v>
      </c>
      <c r="J48" s="37">
        <f>J13*J51</f>
        <v>726.84432801792002</v>
      </c>
      <c r="K48" s="37">
        <f>K13*K51</f>
        <v>1054.2257252868096</v>
      </c>
    </row>
    <row r="49" spans="2:11" s="5" customFormat="1" ht="15.6" outlineLevel="1" x14ac:dyDescent="0.3">
      <c r="B49" s="38" t="s">
        <v>30</v>
      </c>
      <c r="C49" s="39"/>
      <c r="D49" s="39"/>
      <c r="E49" s="39"/>
      <c r="F49" s="40"/>
      <c r="G49" s="141">
        <f>G87</f>
        <v>308.04118240000003</v>
      </c>
      <c r="H49" s="141">
        <f t="shared" ref="H49:K49" si="37">H87</f>
        <v>381.40118152000002</v>
      </c>
      <c r="I49" s="141">
        <f t="shared" si="37"/>
        <v>483.71709201760007</v>
      </c>
      <c r="J49" s="141">
        <f t="shared" si="37"/>
        <v>629.08595762118409</v>
      </c>
      <c r="K49" s="141">
        <f t="shared" si="37"/>
        <v>839.93110267854604</v>
      </c>
    </row>
    <row r="50" spans="2:11" s="5" customFormat="1" ht="15.6" outlineLevel="1" x14ac:dyDescent="0.3">
      <c r="B50" s="33" t="s">
        <v>34</v>
      </c>
      <c r="C50" s="21"/>
      <c r="D50" s="23"/>
      <c r="E50" s="23"/>
      <c r="F50" s="23"/>
      <c r="G50" s="43">
        <f>G47+G48-G49</f>
        <v>846.25472960000002</v>
      </c>
      <c r="H50" s="43">
        <f t="shared" ref="H50:K50" si="38">H47+H48-H49</f>
        <v>831.6535436800001</v>
      </c>
      <c r="I50" s="43">
        <f t="shared" si="38"/>
        <v>859.51600415040014</v>
      </c>
      <c r="J50" s="43">
        <f t="shared" si="38"/>
        <v>957.27437454713606</v>
      </c>
      <c r="K50" s="43">
        <f t="shared" si="38"/>
        <v>1171.5689971553995</v>
      </c>
    </row>
    <row r="51" spans="2:11" s="5" customFormat="1" outlineLevel="1" x14ac:dyDescent="0.3">
      <c r="D51" s="49"/>
      <c r="E51" s="49"/>
      <c r="F51" s="49"/>
      <c r="G51" s="44">
        <v>0.01</v>
      </c>
      <c r="H51" s="44">
        <v>0.01</v>
      </c>
      <c r="I51" s="44">
        <v>0.01</v>
      </c>
      <c r="J51" s="44">
        <v>0.01</v>
      </c>
      <c r="K51" s="44">
        <v>0.01</v>
      </c>
    </row>
    <row r="52" spans="2:11" s="5" customFormat="1" outlineLevel="1" x14ac:dyDescent="0.3">
      <c r="E52" s="49"/>
      <c r="F52" s="45"/>
      <c r="G52" s="45"/>
      <c r="H52" s="45"/>
      <c r="I52" s="45"/>
      <c r="J52" s="45"/>
      <c r="K52" s="45"/>
    </row>
    <row r="53" spans="2:11" s="5" customFormat="1" outlineLevel="1" x14ac:dyDescent="0.3">
      <c r="B53" t="s">
        <v>37</v>
      </c>
      <c r="C53" s="57">
        <v>4</v>
      </c>
      <c r="D53"/>
      <c r="E53"/>
      <c r="F53"/>
      <c r="G53" s="37">
        <f>'Balance Sheet'!E12</f>
        <v>4.91</v>
      </c>
      <c r="H53" s="37">
        <f>G56</f>
        <v>17.096693400000003</v>
      </c>
      <c r="I53" s="37">
        <f t="shared" ref="I53:K53" si="39">H56</f>
        <v>29.917795270000006</v>
      </c>
      <c r="J53" s="37">
        <f t="shared" si="39"/>
        <v>44.427364016600023</v>
      </c>
      <c r="K53" s="37">
        <f t="shared" si="39"/>
        <v>62.292302115744036</v>
      </c>
    </row>
    <row r="54" spans="2:11" s="5" customFormat="1" ht="15.6" outlineLevel="1" x14ac:dyDescent="0.3">
      <c r="B54" s="34" t="s">
        <v>33</v>
      </c>
      <c r="G54" s="37">
        <f>G13*G57</f>
        <v>26.875591200000002</v>
      </c>
      <c r="H54" s="37">
        <f>H13*H57</f>
        <v>36.679999560000006</v>
      </c>
      <c r="I54" s="37">
        <f>I13*I57</f>
        <v>51.157955248800008</v>
      </c>
      <c r="J54" s="37">
        <f>J13*J57</f>
        <v>72.684432801792013</v>
      </c>
      <c r="K54" s="37">
        <f>K13*K57</f>
        <v>105.42257252868096</v>
      </c>
    </row>
    <row r="55" spans="2:11" s="5" customFormat="1" ht="15.6" outlineLevel="1" x14ac:dyDescent="0.3">
      <c r="B55" s="38" t="s">
        <v>402</v>
      </c>
      <c r="C55" s="39"/>
      <c r="D55" s="39"/>
      <c r="E55" s="39"/>
      <c r="F55" s="40"/>
      <c r="G55" s="41">
        <f>G97</f>
        <v>14.688897799999999</v>
      </c>
      <c r="H55" s="41">
        <f t="shared" ref="H55:K55" si="40">H97</f>
        <v>23.858897689999999</v>
      </c>
      <c r="I55" s="41">
        <f t="shared" si="40"/>
        <v>36.648386502199997</v>
      </c>
      <c r="J55" s="41">
        <f t="shared" si="40"/>
        <v>54.819494702648001</v>
      </c>
      <c r="K55" s="41">
        <f t="shared" si="40"/>
        <v>81.175137834818244</v>
      </c>
    </row>
    <row r="56" spans="2:11" s="5" customFormat="1" ht="15.6" outlineLevel="1" x14ac:dyDescent="0.3">
      <c r="B56" s="33" t="s">
        <v>38</v>
      </c>
      <c r="C56" s="21"/>
      <c r="D56" s="23"/>
      <c r="E56" s="23"/>
      <c r="F56" s="23"/>
      <c r="G56" s="43">
        <f>G53+G54-G55</f>
        <v>17.096693400000003</v>
      </c>
      <c r="H56" s="43">
        <f t="shared" ref="H56:K56" si="41">H53+H54-H55</f>
        <v>29.917795270000006</v>
      </c>
      <c r="I56" s="43">
        <f t="shared" si="41"/>
        <v>44.427364016600023</v>
      </c>
      <c r="J56" s="43">
        <f t="shared" si="41"/>
        <v>62.292302115744036</v>
      </c>
      <c r="K56" s="43">
        <f t="shared" si="41"/>
        <v>86.539736809606737</v>
      </c>
    </row>
    <row r="57" spans="2:11" s="5" customFormat="1" outlineLevel="1" x14ac:dyDescent="0.3">
      <c r="E57" s="49"/>
      <c r="F57" s="45"/>
      <c r="G57" s="44">
        <v>1E-3</v>
      </c>
      <c r="H57" s="44">
        <v>1E-3</v>
      </c>
      <c r="I57" s="44">
        <v>1E-3</v>
      </c>
      <c r="J57" s="44">
        <v>1E-3</v>
      </c>
      <c r="K57" s="44">
        <v>1E-3</v>
      </c>
    </row>
    <row r="58" spans="2:11" s="5" customFormat="1" outlineLevel="1" x14ac:dyDescent="0.3">
      <c r="D58" s="52"/>
      <c r="E58" s="52"/>
      <c r="F58" s="53"/>
      <c r="G58" s="45"/>
      <c r="H58" s="45"/>
      <c r="I58" s="45"/>
      <c r="J58" s="45"/>
      <c r="K58" s="45"/>
    </row>
    <row r="59" spans="2:11" s="5" customFormat="1" outlineLevel="1" x14ac:dyDescent="0.3">
      <c r="B59" s="113" t="s">
        <v>379</v>
      </c>
      <c r="C59" s="114"/>
      <c r="D59" s="155"/>
      <c r="E59" s="155"/>
      <c r="F59" s="155"/>
      <c r="G59" s="114"/>
      <c r="H59" s="114"/>
      <c r="I59" s="114"/>
      <c r="J59" s="114"/>
      <c r="K59" s="114"/>
    </row>
    <row r="60" spans="2:11" s="5" customFormat="1" outlineLevel="1" x14ac:dyDescent="0.3">
      <c r="B60" t="s">
        <v>35</v>
      </c>
      <c r="C60"/>
      <c r="D60" s="50">
        <f>'Balance Sheet'!C16+'Balance Sheet'!C17</f>
        <v>2385.6799999999998</v>
      </c>
      <c r="E60" s="50">
        <f>'Balance Sheet'!D16+'Balance Sheet'!D17</f>
        <v>79.88</v>
      </c>
      <c r="F60" s="50">
        <f>'Balance Sheet'!E16+'Balance Sheet'!E17</f>
        <v>4585.2700000000004</v>
      </c>
      <c r="G60" s="37">
        <f>G61*G13</f>
        <v>5375.1182400000007</v>
      </c>
      <c r="H60" s="37">
        <f>H61*H13</f>
        <v>6969.1999164000008</v>
      </c>
      <c r="I60" s="37">
        <f>I61*I13</f>
        <v>9208.4319447840007</v>
      </c>
      <c r="J60" s="37">
        <f>J61*J13</f>
        <v>11629.50924828672</v>
      </c>
      <c r="K60" s="37">
        <f>K61*K13</f>
        <v>16867.611604588954</v>
      </c>
    </row>
    <row r="61" spans="2:11" s="5" customFormat="1" outlineLevel="1" x14ac:dyDescent="0.3">
      <c r="B61" s="46"/>
      <c r="C61" s="46"/>
      <c r="D61" s="51">
        <f>D60/D13</f>
        <v>0.18128598089934769</v>
      </c>
      <c r="E61" s="51">
        <f>E60/E13</f>
        <v>4.8945718536383305E-3</v>
      </c>
      <c r="F61" s="51">
        <f>F60/F13</f>
        <v>0.22652917953838198</v>
      </c>
      <c r="G61" s="48">
        <v>0.2</v>
      </c>
      <c r="H61" s="48">
        <v>0.19</v>
      </c>
      <c r="I61" s="48">
        <v>0.18</v>
      </c>
      <c r="J61" s="48">
        <v>0.16</v>
      </c>
      <c r="K61" s="48">
        <v>0.16</v>
      </c>
    </row>
    <row r="62" spans="2:11" s="5" customFormat="1" outlineLevel="1" x14ac:dyDescent="0.3">
      <c r="D62" s="52"/>
      <c r="E62" s="52"/>
      <c r="F62" s="53"/>
      <c r="G62" s="45"/>
      <c r="H62" s="45"/>
      <c r="I62" s="45"/>
      <c r="J62" s="45"/>
      <c r="K62" s="45"/>
    </row>
    <row r="63" spans="2:11" s="5" customFormat="1" outlineLevel="1" x14ac:dyDescent="0.3">
      <c r="B63" s="113" t="s">
        <v>382</v>
      </c>
      <c r="C63" s="114"/>
      <c r="D63" s="155"/>
      <c r="E63" s="155"/>
      <c r="F63" s="155"/>
      <c r="G63" s="114"/>
      <c r="H63" s="114"/>
      <c r="I63" s="114"/>
      <c r="J63" s="114"/>
      <c r="K63" s="114"/>
    </row>
    <row r="64" spans="2:11" s="5" customFormat="1" outlineLevel="1" x14ac:dyDescent="0.3">
      <c r="B64" t="s">
        <v>36</v>
      </c>
      <c r="C64"/>
      <c r="D64" s="50">
        <f>'Balance Sheet'!C18</f>
        <v>685.58</v>
      </c>
      <c r="E64" s="50">
        <f>'Balance Sheet'!D18</f>
        <v>319.55</v>
      </c>
      <c r="F64" s="50">
        <f>'Balance Sheet'!E18</f>
        <v>8.15</v>
      </c>
      <c r="G64" s="37">
        <f>G65*G22</f>
        <v>181.41024060000004</v>
      </c>
      <c r="H64" s="37">
        <f>H65*H22</f>
        <v>243.92199707400005</v>
      </c>
      <c r="I64" s="37">
        <f>I65*I22</f>
        <v>335.08460687964003</v>
      </c>
      <c r="J64" s="37">
        <f>J65*J22</f>
        <v>472.44881321164809</v>
      </c>
      <c r="K64" s="37">
        <f>K65*K22</f>
        <v>685.24672143642636</v>
      </c>
    </row>
    <row r="65" spans="2:11" s="5" customFormat="1" outlineLevel="1" x14ac:dyDescent="0.3">
      <c r="B65" s="46"/>
      <c r="C65" s="46"/>
      <c r="D65" s="54">
        <f>D64/D13</f>
        <v>5.2096694772549045E-2</v>
      </c>
      <c r="E65" s="54">
        <f>E64/E13</f>
        <v>1.9580125636331106E-2</v>
      </c>
      <c r="F65" s="54">
        <f>F64/F13</f>
        <v>4.0263993466858286E-4</v>
      </c>
      <c r="G65" s="48">
        <v>0.01</v>
      </c>
      <c r="H65" s="48">
        <v>0.01</v>
      </c>
      <c r="I65" s="48">
        <v>0.01</v>
      </c>
      <c r="J65" s="48">
        <v>0.01</v>
      </c>
      <c r="K65" s="48">
        <v>0.01</v>
      </c>
    </row>
    <row r="66" spans="2:11" s="5" customFormat="1" outlineLevel="1" x14ac:dyDescent="0.3">
      <c r="B66"/>
      <c r="C66"/>
      <c r="D66" s="24"/>
      <c r="E66" s="24"/>
      <c r="F66" s="24"/>
      <c r="G66" s="55"/>
      <c r="H66" s="55"/>
      <c r="I66" s="55"/>
      <c r="J66" s="55"/>
      <c r="K66" s="55"/>
    </row>
    <row r="67" spans="2:11" s="5" customFormat="1" ht="15.6" outlineLevel="1" x14ac:dyDescent="0.3">
      <c r="B67" s="117" t="s">
        <v>39</v>
      </c>
      <c r="C67" s="109"/>
      <c r="D67" s="109"/>
      <c r="E67" s="109"/>
      <c r="F67" s="109"/>
      <c r="G67" s="109"/>
      <c r="H67" s="109"/>
      <c r="I67" s="109"/>
      <c r="J67" s="109"/>
      <c r="K67" s="109"/>
    </row>
    <row r="68" spans="2:11" outlineLevel="1" x14ac:dyDescent="0.3"/>
    <row r="69" spans="2:11" outlineLevel="1" x14ac:dyDescent="0.3">
      <c r="B69" s="60" t="s">
        <v>41</v>
      </c>
    </row>
    <row r="70" spans="2:11" outlineLevel="1" x14ac:dyDescent="0.3"/>
    <row r="71" spans="2:11" outlineLevel="1" x14ac:dyDescent="0.3">
      <c r="B71" s="61">
        <v>2026</v>
      </c>
      <c r="F71" s="58">
        <v>100.71</v>
      </c>
      <c r="G71" s="58">
        <f>F71</f>
        <v>100.71</v>
      </c>
      <c r="H71" s="58">
        <f t="shared" ref="H71:K71" si="42">G71</f>
        <v>100.71</v>
      </c>
      <c r="I71" s="58">
        <f t="shared" si="42"/>
        <v>100.71</v>
      </c>
      <c r="J71" s="58">
        <f t="shared" si="42"/>
        <v>100.71</v>
      </c>
      <c r="K71" s="58">
        <f t="shared" si="42"/>
        <v>100.71</v>
      </c>
    </row>
    <row r="72" spans="2:11" outlineLevel="1" x14ac:dyDescent="0.3">
      <c r="B72" s="61">
        <f>B71+1</f>
        <v>2027</v>
      </c>
      <c r="F72" s="114"/>
      <c r="G72" s="59">
        <f>(G42)/C41</f>
        <v>67.188978000000006</v>
      </c>
      <c r="H72" s="59">
        <f>G72</f>
        <v>67.188978000000006</v>
      </c>
      <c r="I72" s="59">
        <f t="shared" ref="I72:K72" si="43">H72</f>
        <v>67.188978000000006</v>
      </c>
      <c r="J72" s="59">
        <f t="shared" si="43"/>
        <v>67.188978000000006</v>
      </c>
      <c r="K72" s="59">
        <f t="shared" si="43"/>
        <v>67.188978000000006</v>
      </c>
    </row>
    <row r="73" spans="2:11" outlineLevel="1" x14ac:dyDescent="0.3">
      <c r="B73" s="61">
        <f t="shared" ref="B73:B74" si="44">B72+1</f>
        <v>2028</v>
      </c>
      <c r="F73" s="114"/>
      <c r="G73" s="114"/>
      <c r="H73" s="59">
        <f>(H42)/C41</f>
        <v>91.699998900000011</v>
      </c>
      <c r="I73" s="59">
        <f>H73</f>
        <v>91.699998900000011</v>
      </c>
      <c r="J73" s="59">
        <f t="shared" ref="J73:K73" si="45">I73</f>
        <v>91.699998900000011</v>
      </c>
      <c r="K73" s="59">
        <f t="shared" si="45"/>
        <v>91.699998900000011</v>
      </c>
    </row>
    <row r="74" spans="2:11" outlineLevel="1" x14ac:dyDescent="0.3">
      <c r="B74" s="61">
        <f t="shared" si="44"/>
        <v>2029</v>
      </c>
      <c r="F74" s="114"/>
      <c r="G74" s="114"/>
      <c r="H74" s="114"/>
      <c r="I74" s="59">
        <f>(I42)/C41</f>
        <v>127.89488812200001</v>
      </c>
      <c r="J74" s="59">
        <f>I74</f>
        <v>127.89488812200001</v>
      </c>
      <c r="K74" s="59">
        <f t="shared" ref="K74" si="46">J74</f>
        <v>127.89488812200001</v>
      </c>
    </row>
    <row r="75" spans="2:11" outlineLevel="1" x14ac:dyDescent="0.3">
      <c r="B75" s="61">
        <f>B74+1</f>
        <v>2030</v>
      </c>
      <c r="F75" s="114"/>
      <c r="G75" s="114"/>
      <c r="H75" s="114"/>
      <c r="I75" s="114"/>
      <c r="J75" s="59">
        <f>(J42)/C41</f>
        <v>181.71108200448001</v>
      </c>
      <c r="K75" s="59">
        <f>J75</f>
        <v>181.71108200448001</v>
      </c>
    </row>
    <row r="76" spans="2:11" outlineLevel="1" x14ac:dyDescent="0.3">
      <c r="B76" s="61">
        <f>B75+1</f>
        <v>2031</v>
      </c>
      <c r="F76" s="114"/>
      <c r="G76" s="114"/>
      <c r="H76" s="114"/>
      <c r="I76" s="114"/>
      <c r="J76" s="156"/>
      <c r="K76" s="59">
        <f>(K42)/C41</f>
        <v>263.55643132170241</v>
      </c>
    </row>
    <row r="77" spans="2:11" x14ac:dyDescent="0.3">
      <c r="B77" s="62" t="s">
        <v>40</v>
      </c>
      <c r="C77" s="62"/>
      <c r="D77" s="62"/>
      <c r="E77" s="62"/>
      <c r="F77" s="140">
        <f>F71</f>
        <v>100.71</v>
      </c>
      <c r="G77" s="140">
        <f>G71+G72</f>
        <v>167.898978</v>
      </c>
      <c r="H77" s="140">
        <f>H71+H72+H73</f>
        <v>259.59897690000003</v>
      </c>
      <c r="I77" s="140">
        <f>I71+I72+I73+I74</f>
        <v>387.49386502200002</v>
      </c>
      <c r="J77" s="140">
        <f>J71+J72+J73+J74+J75</f>
        <v>569.20494702648</v>
      </c>
      <c r="K77" s="140">
        <f>K71+K72+K73+K74+K75+K76</f>
        <v>832.76137834818246</v>
      </c>
    </row>
    <row r="78" spans="2:11" x14ac:dyDescent="0.3">
      <c r="B78" s="20"/>
      <c r="C78" s="20"/>
      <c r="D78" s="20"/>
      <c r="E78" s="63"/>
      <c r="F78" s="63"/>
      <c r="G78" s="63"/>
      <c r="H78" s="63"/>
      <c r="I78" s="63"/>
      <c r="J78" s="63"/>
    </row>
    <row r="79" spans="2:11" outlineLevel="1" x14ac:dyDescent="0.3">
      <c r="B79" s="60" t="s">
        <v>360</v>
      </c>
    </row>
    <row r="80" spans="2:11" outlineLevel="1" x14ac:dyDescent="0.3"/>
    <row r="81" spans="2:11" outlineLevel="1" x14ac:dyDescent="0.3">
      <c r="B81" s="61">
        <v>2026</v>
      </c>
      <c r="F81" s="58">
        <v>254.29</v>
      </c>
      <c r="G81" s="58">
        <f>F81</f>
        <v>254.29</v>
      </c>
      <c r="H81" s="58">
        <f t="shared" ref="H81:K81" si="47">G81</f>
        <v>254.29</v>
      </c>
      <c r="I81" s="58">
        <f t="shared" si="47"/>
        <v>254.29</v>
      </c>
      <c r="J81" s="58">
        <f t="shared" si="47"/>
        <v>254.29</v>
      </c>
      <c r="K81" s="58">
        <f t="shared" si="47"/>
        <v>254.29</v>
      </c>
    </row>
    <row r="82" spans="2:11" outlineLevel="1" x14ac:dyDescent="0.3">
      <c r="B82" s="61">
        <f>B81+1</f>
        <v>2027</v>
      </c>
      <c r="F82" s="114"/>
      <c r="G82" s="59">
        <f>G48/C47</f>
        <v>53.751182400000005</v>
      </c>
      <c r="H82" s="59">
        <f>G82</f>
        <v>53.751182400000005</v>
      </c>
      <c r="I82" s="59">
        <f t="shared" ref="I82:K82" si="48">H82</f>
        <v>53.751182400000005</v>
      </c>
      <c r="J82" s="59">
        <f t="shared" si="48"/>
        <v>53.751182400000005</v>
      </c>
      <c r="K82" s="59">
        <f t="shared" si="48"/>
        <v>53.751182400000005</v>
      </c>
    </row>
    <row r="83" spans="2:11" outlineLevel="1" x14ac:dyDescent="0.3">
      <c r="B83" s="61">
        <f t="shared" ref="B83:B84" si="49">B82+1</f>
        <v>2028</v>
      </c>
      <c r="F83" s="114"/>
      <c r="G83" s="114"/>
      <c r="H83" s="59">
        <f>H48/C47</f>
        <v>73.359999120000012</v>
      </c>
      <c r="I83" s="59">
        <f>H83</f>
        <v>73.359999120000012</v>
      </c>
      <c r="J83" s="59">
        <f t="shared" ref="J83:K84" si="50">I83</f>
        <v>73.359999120000012</v>
      </c>
      <c r="K83" s="59">
        <f t="shared" si="50"/>
        <v>73.359999120000012</v>
      </c>
    </row>
    <row r="84" spans="2:11" outlineLevel="1" x14ac:dyDescent="0.3">
      <c r="B84" s="61">
        <f t="shared" si="49"/>
        <v>2029</v>
      </c>
      <c r="F84" s="114"/>
      <c r="G84" s="114"/>
      <c r="H84" s="114"/>
      <c r="I84" s="59">
        <f>I48/C47</f>
        <v>102.31591049760002</v>
      </c>
      <c r="J84" s="59">
        <f>I84</f>
        <v>102.31591049760002</v>
      </c>
      <c r="K84" s="59">
        <f t="shared" si="50"/>
        <v>102.31591049760002</v>
      </c>
    </row>
    <row r="85" spans="2:11" outlineLevel="1" x14ac:dyDescent="0.3">
      <c r="B85" s="61">
        <f>B84+1</f>
        <v>2030</v>
      </c>
      <c r="F85" s="114"/>
      <c r="G85" s="114"/>
      <c r="H85" s="114"/>
      <c r="I85" s="114"/>
      <c r="J85" s="59">
        <f>J48/C47</f>
        <v>145.368865603584</v>
      </c>
      <c r="K85" s="59">
        <f>J85</f>
        <v>145.368865603584</v>
      </c>
    </row>
    <row r="86" spans="2:11" outlineLevel="1" x14ac:dyDescent="0.3">
      <c r="B86" s="61">
        <f>B85+1</f>
        <v>2031</v>
      </c>
      <c r="F86" s="114"/>
      <c r="G86" s="114"/>
      <c r="H86" s="114"/>
      <c r="I86" s="114"/>
      <c r="J86" s="156"/>
      <c r="K86" s="59">
        <f>K48/C47</f>
        <v>210.84514505736192</v>
      </c>
    </row>
    <row r="87" spans="2:11" outlineLevel="1" x14ac:dyDescent="0.3">
      <c r="B87" s="62" t="s">
        <v>40</v>
      </c>
      <c r="C87" s="62"/>
      <c r="D87" s="62"/>
      <c r="E87" s="62"/>
      <c r="F87" s="140">
        <f>F81</f>
        <v>254.29</v>
      </c>
      <c r="G87" s="140">
        <f>G81+G82</f>
        <v>308.04118240000003</v>
      </c>
      <c r="H87" s="140">
        <f>H81+H82+H83</f>
        <v>381.40118152000002</v>
      </c>
      <c r="I87" s="140">
        <f>I81+I82+I83+I84</f>
        <v>483.71709201760007</v>
      </c>
      <c r="J87" s="140">
        <f>J81+J82+J83+J84+J85</f>
        <v>629.08595762118409</v>
      </c>
      <c r="K87" s="140">
        <f>K81+K82+K83+K84+K85+K86</f>
        <v>839.93110267854604</v>
      </c>
    </row>
    <row r="88" spans="2:11" outlineLevel="1" x14ac:dyDescent="0.3">
      <c r="B88" s="20"/>
      <c r="C88" s="20"/>
      <c r="D88" s="20"/>
      <c r="E88" s="63"/>
      <c r="F88" s="63"/>
      <c r="G88" s="63"/>
      <c r="H88" s="63"/>
      <c r="I88" s="63"/>
      <c r="J88" s="63"/>
    </row>
    <row r="89" spans="2:11" outlineLevel="1" x14ac:dyDescent="0.3">
      <c r="B89" s="60" t="s">
        <v>361</v>
      </c>
    </row>
    <row r="90" spans="2:11" outlineLevel="1" x14ac:dyDescent="0.3"/>
    <row r="91" spans="2:11" outlineLevel="1" x14ac:dyDescent="0.3">
      <c r="B91" s="61">
        <v>2026</v>
      </c>
      <c r="F91" s="58">
        <v>7.97</v>
      </c>
      <c r="G91" s="58">
        <f>F91</f>
        <v>7.97</v>
      </c>
      <c r="H91" s="58">
        <f t="shared" ref="H91:K91" si="51">G91</f>
        <v>7.97</v>
      </c>
      <c r="I91" s="58">
        <f t="shared" si="51"/>
        <v>7.97</v>
      </c>
      <c r="J91" s="58">
        <f t="shared" si="51"/>
        <v>7.97</v>
      </c>
      <c r="K91" s="58">
        <f t="shared" si="51"/>
        <v>7.97</v>
      </c>
    </row>
    <row r="92" spans="2:11" outlineLevel="1" x14ac:dyDescent="0.3">
      <c r="B92" s="61">
        <f>B91+1</f>
        <v>2027</v>
      </c>
      <c r="F92" s="114"/>
      <c r="G92" s="59">
        <f>G54/C53</f>
        <v>6.7188978000000006</v>
      </c>
      <c r="H92" s="59">
        <f>G92</f>
        <v>6.7188978000000006</v>
      </c>
      <c r="I92" s="59">
        <f t="shared" ref="I92:K92" si="52">H92</f>
        <v>6.7188978000000006</v>
      </c>
      <c r="J92" s="59">
        <f t="shared" si="52"/>
        <v>6.7188978000000006</v>
      </c>
      <c r="K92" s="59">
        <f t="shared" si="52"/>
        <v>6.7188978000000006</v>
      </c>
    </row>
    <row r="93" spans="2:11" outlineLevel="1" x14ac:dyDescent="0.3">
      <c r="B93" s="61">
        <f t="shared" ref="B93:B94" si="53">B92+1</f>
        <v>2028</v>
      </c>
      <c r="D93" s="143"/>
      <c r="F93" s="114"/>
      <c r="G93" s="114"/>
      <c r="H93" s="59">
        <f>H54/C53</f>
        <v>9.1699998900000015</v>
      </c>
      <c r="I93" s="59">
        <f>H93</f>
        <v>9.1699998900000015</v>
      </c>
      <c r="J93" s="59">
        <f t="shared" ref="J93:K94" si="54">I93</f>
        <v>9.1699998900000015</v>
      </c>
      <c r="K93" s="59">
        <f t="shared" si="54"/>
        <v>9.1699998900000015</v>
      </c>
    </row>
    <row r="94" spans="2:11" outlineLevel="1" x14ac:dyDescent="0.3">
      <c r="B94" s="61">
        <f t="shared" si="53"/>
        <v>2029</v>
      </c>
      <c r="F94" s="114"/>
      <c r="G94" s="114"/>
      <c r="H94" s="114"/>
      <c r="I94" s="59">
        <f>I54/C53</f>
        <v>12.789488812200002</v>
      </c>
      <c r="J94" s="59">
        <f>I94</f>
        <v>12.789488812200002</v>
      </c>
      <c r="K94" s="59">
        <f t="shared" si="54"/>
        <v>12.789488812200002</v>
      </c>
    </row>
    <row r="95" spans="2:11" outlineLevel="1" x14ac:dyDescent="0.3">
      <c r="B95" s="61">
        <f>B94+1</f>
        <v>2030</v>
      </c>
      <c r="F95" s="114"/>
      <c r="G95" s="114"/>
      <c r="H95" s="114"/>
      <c r="I95" s="114"/>
      <c r="J95" s="59">
        <f>J54/C53</f>
        <v>18.171108200448003</v>
      </c>
      <c r="K95" s="59">
        <f>J95</f>
        <v>18.171108200448003</v>
      </c>
    </row>
    <row r="96" spans="2:11" outlineLevel="1" x14ac:dyDescent="0.3">
      <c r="B96" s="61">
        <f>B95+1</f>
        <v>2031</v>
      </c>
      <c r="F96" s="114"/>
      <c r="G96" s="114"/>
      <c r="H96" s="114"/>
      <c r="I96" s="114"/>
      <c r="J96" s="156"/>
      <c r="K96" s="59">
        <f>K54/C53</f>
        <v>26.35564313217024</v>
      </c>
    </row>
    <row r="97" spans="2:11" outlineLevel="1" x14ac:dyDescent="0.3">
      <c r="B97" s="62" t="s">
        <v>40</v>
      </c>
      <c r="C97" s="62"/>
      <c r="D97" s="62"/>
      <c r="E97" s="62"/>
      <c r="F97" s="140">
        <f>F91</f>
        <v>7.97</v>
      </c>
      <c r="G97" s="140">
        <f>G91+G92</f>
        <v>14.688897799999999</v>
      </c>
      <c r="H97" s="140">
        <f>H91+H92+H93</f>
        <v>23.858897689999999</v>
      </c>
      <c r="I97" s="140">
        <f>I91+I92+I93+I94</f>
        <v>36.648386502199997</v>
      </c>
      <c r="J97" s="140">
        <f>J91+J92+J93+J94+J95</f>
        <v>54.819494702648001</v>
      </c>
      <c r="K97" s="140">
        <f>K91+K92+K93+K94+K95+K96</f>
        <v>81.175137834818244</v>
      </c>
    </row>
    <row r="98" spans="2:11" outlineLevel="1" x14ac:dyDescent="0.3">
      <c r="B98" s="20"/>
      <c r="C98" s="20"/>
      <c r="D98" s="20"/>
      <c r="E98" s="63"/>
      <c r="F98" s="63"/>
      <c r="G98" s="63"/>
      <c r="H98" s="63"/>
      <c r="I98" s="63"/>
      <c r="J98" s="63"/>
    </row>
    <row r="99" spans="2:11" ht="15.6" outlineLevel="1" x14ac:dyDescent="0.3">
      <c r="B99" s="117" t="s">
        <v>42</v>
      </c>
      <c r="C99" s="109"/>
      <c r="D99" s="109"/>
      <c r="E99" s="109"/>
      <c r="F99" s="109"/>
      <c r="G99" s="109"/>
      <c r="H99" s="109"/>
      <c r="I99" s="109"/>
      <c r="J99" s="109"/>
      <c r="K99" s="109"/>
    </row>
    <row r="100" spans="2:11" outlineLevel="1" x14ac:dyDescent="0.3"/>
    <row r="101" spans="2:11" outlineLevel="1" x14ac:dyDescent="0.3">
      <c r="B101" t="s">
        <v>20</v>
      </c>
      <c r="D101" s="25">
        <f>'Income Statement'!C9</f>
        <v>13159.76</v>
      </c>
      <c r="E101" s="25">
        <f>'Income Statement'!D9</f>
        <v>16320.12</v>
      </c>
      <c r="F101" s="25">
        <f>'Income Statement'!E9</f>
        <v>20241.41</v>
      </c>
      <c r="G101" s="64">
        <f>G13</f>
        <v>26875.591200000003</v>
      </c>
      <c r="H101" s="64">
        <f>H13</f>
        <v>36679.999560000004</v>
      </c>
      <c r="I101" s="64">
        <f>I13</f>
        <v>51157.955248800004</v>
      </c>
      <c r="J101" s="64">
        <f>J13</f>
        <v>72684.432801792005</v>
      </c>
      <c r="K101" s="64">
        <f>K13</f>
        <v>105422.57252868096</v>
      </c>
    </row>
    <row r="102" spans="2:11" outlineLevel="1" x14ac:dyDescent="0.3">
      <c r="B102" s="65" t="s">
        <v>43</v>
      </c>
      <c r="D102" s="25">
        <f t="shared" ref="D102:K102" si="55">D37</f>
        <v>16091.43</v>
      </c>
      <c r="E102" s="25">
        <f t="shared" si="55"/>
        <v>16919.809999999998</v>
      </c>
      <c r="F102" s="25">
        <f t="shared" si="55"/>
        <v>20906.740000000002</v>
      </c>
      <c r="G102" s="73">
        <f t="shared" si="55"/>
        <v>26472.457332000005</v>
      </c>
      <c r="H102" s="73">
        <f t="shared" si="55"/>
        <v>35762.999571</v>
      </c>
      <c r="I102" s="73">
        <f t="shared" si="55"/>
        <v>49367.426815092011</v>
      </c>
      <c r="J102" s="73">
        <f t="shared" si="55"/>
        <v>69777.055489720326</v>
      </c>
      <c r="K102" s="73">
        <f t="shared" si="55"/>
        <v>101205.66962753373</v>
      </c>
    </row>
    <row r="103" spans="2:11" outlineLevel="1" x14ac:dyDescent="0.3">
      <c r="B103" s="65" t="s">
        <v>44</v>
      </c>
      <c r="D103" s="66">
        <f>'Income Statement'!C19</f>
        <v>759.78</v>
      </c>
      <c r="E103" s="66">
        <f>'Income Statement'!D19</f>
        <v>352.2</v>
      </c>
      <c r="F103" s="66">
        <f>'Income Statement'!E19</f>
        <v>362.97</v>
      </c>
      <c r="G103" s="64">
        <f>G77+G87+G97</f>
        <v>490.62905820000003</v>
      </c>
      <c r="H103" s="64">
        <f t="shared" ref="H103:K103" si="56">H77+H87+H97</f>
        <v>664.8590561100001</v>
      </c>
      <c r="I103" s="64">
        <f t="shared" si="56"/>
        <v>907.85934354180006</v>
      </c>
      <c r="J103" s="64">
        <f t="shared" si="56"/>
        <v>1253.110399350312</v>
      </c>
      <c r="K103" s="64">
        <f t="shared" si="56"/>
        <v>1753.8676188615468</v>
      </c>
    </row>
    <row r="104" spans="2:11" outlineLevel="1" x14ac:dyDescent="0.3">
      <c r="B104" s="56" t="s">
        <v>45</v>
      </c>
      <c r="C104" s="5"/>
      <c r="D104" s="35">
        <f>'Income Statement'!C18-'Income Statement'!C23-'Income Statement'!C10</f>
        <v>2258.3599999999997</v>
      </c>
      <c r="E104" s="35">
        <f>'Income Statement'!D18-'Income Statement'!D23-'Income Statement'!D10</f>
        <v>-207.39999999999998</v>
      </c>
      <c r="F104" s="35">
        <f>'Income Statement'!E18-'Income Statement'!E23-'Income Statement'!E10</f>
        <v>-235.84999999999997</v>
      </c>
      <c r="G104" s="64">
        <f>G201-G208-G213</f>
        <v>-537.51182399999993</v>
      </c>
      <c r="H104" s="64">
        <f t="shared" ref="H104:K104" si="57">H201-H208-H213</f>
        <v>-733.59999119999998</v>
      </c>
      <c r="I104" s="64">
        <f t="shared" si="57"/>
        <v>-1023.159104976</v>
      </c>
      <c r="J104" s="64">
        <f t="shared" si="57"/>
        <v>-1453.6886560358403</v>
      </c>
      <c r="K104" s="64">
        <f t="shared" si="57"/>
        <v>-2108.4514505736188</v>
      </c>
    </row>
    <row r="105" spans="2:11" s="20" customFormat="1" outlineLevel="1" x14ac:dyDescent="0.3">
      <c r="B105" s="62" t="s">
        <v>46</v>
      </c>
      <c r="C105" s="62"/>
      <c r="D105" s="70">
        <f>D101-D102-D103-D104</f>
        <v>-5949.8099999999995</v>
      </c>
      <c r="E105" s="70">
        <f t="shared" ref="E105:K105" si="58">E101-E102-E103-E104</f>
        <v>-744.48999999999694</v>
      </c>
      <c r="F105" s="70">
        <f t="shared" si="58"/>
        <v>-792.45000000000186</v>
      </c>
      <c r="G105" s="70">
        <f t="shared" si="58"/>
        <v>450.01663379999707</v>
      </c>
      <c r="H105" s="70">
        <f t="shared" si="58"/>
        <v>985.74092409000343</v>
      </c>
      <c r="I105" s="70">
        <f t="shared" si="58"/>
        <v>1905.8281951421936</v>
      </c>
      <c r="J105" s="70">
        <f t="shared" si="58"/>
        <v>3107.9555687572079</v>
      </c>
      <c r="K105" s="70">
        <f t="shared" si="58"/>
        <v>4571.4867328593027</v>
      </c>
    </row>
    <row r="106" spans="2:11" outlineLevel="1" x14ac:dyDescent="0.3">
      <c r="B106" s="65" t="s">
        <v>47</v>
      </c>
      <c r="D106" s="25">
        <f>'Income Statement'!C31</f>
        <v>0</v>
      </c>
      <c r="E106" s="25">
        <f>'Income Statement'!D31</f>
        <v>0</v>
      </c>
      <c r="F106" s="25">
        <f>'Income Statement'!E31</f>
        <v>0</v>
      </c>
      <c r="G106" s="67">
        <f>G105*G109</f>
        <v>0</v>
      </c>
      <c r="H106" s="67">
        <f t="shared" ref="H106:K106" si="59">H105*H109</f>
        <v>246.43523102250086</v>
      </c>
      <c r="I106" s="67">
        <f t="shared" si="59"/>
        <v>476.45704878554841</v>
      </c>
      <c r="J106" s="67">
        <f t="shared" si="59"/>
        <v>776.98889218930196</v>
      </c>
      <c r="K106" s="67">
        <f t="shared" si="59"/>
        <v>1142.8716832148257</v>
      </c>
    </row>
    <row r="107" spans="2:11" s="20" customFormat="1" outlineLevel="1" x14ac:dyDescent="0.3">
      <c r="B107" s="62" t="s">
        <v>48</v>
      </c>
      <c r="C107" s="62"/>
      <c r="D107" s="70">
        <f>D105-D106</f>
        <v>-5949.8099999999995</v>
      </c>
      <c r="E107" s="70">
        <f t="shared" ref="E107:K107" si="60">E105-E106</f>
        <v>-744.48999999999694</v>
      </c>
      <c r="F107" s="70">
        <f t="shared" si="60"/>
        <v>-792.45000000000186</v>
      </c>
      <c r="G107" s="70">
        <f t="shared" si="60"/>
        <v>450.01663379999707</v>
      </c>
      <c r="H107" s="70">
        <f t="shared" si="60"/>
        <v>739.3056930675026</v>
      </c>
      <c r="I107" s="70">
        <f t="shared" si="60"/>
        <v>1429.3711463566451</v>
      </c>
      <c r="J107" s="70">
        <f t="shared" si="60"/>
        <v>2330.9666765679058</v>
      </c>
      <c r="K107" s="70">
        <f t="shared" si="60"/>
        <v>3428.615049644477</v>
      </c>
    </row>
    <row r="108" spans="2:11" outlineLevel="1" x14ac:dyDescent="0.3"/>
    <row r="109" spans="2:11" outlineLevel="1" x14ac:dyDescent="0.3">
      <c r="B109" s="46" t="s">
        <v>15</v>
      </c>
      <c r="C109" s="46"/>
      <c r="D109" s="144">
        <v>0</v>
      </c>
      <c r="E109" s="144">
        <v>0</v>
      </c>
      <c r="F109" s="144">
        <v>0</v>
      </c>
      <c r="G109" s="48">
        <f>F109</f>
        <v>0</v>
      </c>
      <c r="H109" s="48">
        <f>'Control Sheet'!I82</f>
        <v>0.25</v>
      </c>
      <c r="I109" s="48">
        <f t="shared" ref="I109:K109" si="61">H109</f>
        <v>0.25</v>
      </c>
      <c r="J109" s="48">
        <f t="shared" si="61"/>
        <v>0.25</v>
      </c>
      <c r="K109" s="48">
        <f t="shared" si="61"/>
        <v>0.25</v>
      </c>
    </row>
    <row r="110" spans="2:11" outlineLevel="1" x14ac:dyDescent="0.3"/>
    <row r="111" spans="2:11" ht="15.6" outlineLevel="1" x14ac:dyDescent="0.3">
      <c r="B111" s="117" t="s">
        <v>49</v>
      </c>
      <c r="C111" s="109"/>
      <c r="D111" s="109"/>
      <c r="E111" s="109"/>
      <c r="F111" s="109"/>
      <c r="G111" s="109"/>
      <c r="H111" s="109"/>
      <c r="I111" s="109"/>
      <c r="J111" s="109"/>
      <c r="K111" s="109"/>
    </row>
    <row r="112" spans="2:11" outlineLevel="1" x14ac:dyDescent="0.3">
      <c r="K112" s="68"/>
    </row>
    <row r="113" spans="2:11" outlineLevel="1" x14ac:dyDescent="0.3">
      <c r="B113" t="s">
        <v>50</v>
      </c>
      <c r="D113" s="25"/>
      <c r="E113" s="25">
        <f>D116</f>
        <v>0</v>
      </c>
      <c r="F113" s="25">
        <f t="shared" ref="F113:K113" si="62">E116</f>
        <v>0</v>
      </c>
      <c r="G113" s="73">
        <f t="shared" si="62"/>
        <v>8880.61</v>
      </c>
      <c r="H113" s="73">
        <f t="shared" si="62"/>
        <v>9196.2486777999984</v>
      </c>
      <c r="I113" s="73">
        <f t="shared" si="62"/>
        <v>9752.1543730675003</v>
      </c>
      <c r="J113" s="73">
        <f t="shared" si="62"/>
        <v>10925.735743180147</v>
      </c>
      <c r="K113" s="73">
        <f t="shared" si="62"/>
        <v>12893.280255739091</v>
      </c>
    </row>
    <row r="114" spans="2:11" outlineLevel="1" x14ac:dyDescent="0.3">
      <c r="B114" t="s">
        <v>51</v>
      </c>
      <c r="D114" s="25"/>
      <c r="E114" s="25"/>
      <c r="F114" s="25"/>
      <c r="G114" s="73">
        <f>'3 Statement Model'!G39</f>
        <v>315.63867779999714</v>
      </c>
      <c r="H114" s="73">
        <f>'3 Statement Model'!H39</f>
        <v>555.90569526750267</v>
      </c>
      <c r="I114" s="73">
        <f>'3 Statement Model'!I39</f>
        <v>1173.5813701126453</v>
      </c>
      <c r="J114" s="73">
        <f>'3 Statement Model'!J39</f>
        <v>1967.5445125589454</v>
      </c>
      <c r="K114" s="73">
        <f>'3 Statement Model'!K39</f>
        <v>2901.5021870010719</v>
      </c>
    </row>
    <row r="115" spans="2:11" outlineLevel="1" x14ac:dyDescent="0.3">
      <c r="B115" t="s">
        <v>52</v>
      </c>
      <c r="D115" s="25">
        <v>0</v>
      </c>
      <c r="E115" s="25">
        <v>0</v>
      </c>
      <c r="F115" s="25">
        <v>0</v>
      </c>
      <c r="G115" s="73">
        <v>0</v>
      </c>
      <c r="H115" s="73">
        <v>0</v>
      </c>
      <c r="I115" s="73">
        <v>0</v>
      </c>
      <c r="J115" s="73">
        <v>0</v>
      </c>
      <c r="K115" s="73">
        <v>0</v>
      </c>
    </row>
    <row r="116" spans="2:11" outlineLevel="1" x14ac:dyDescent="0.3">
      <c r="B116" s="62" t="s">
        <v>53</v>
      </c>
      <c r="C116" s="62"/>
      <c r="D116" s="70">
        <f>D113+D114</f>
        <v>0</v>
      </c>
      <c r="E116" s="70">
        <f t="shared" ref="E116:K116" si="63">E113+E114</f>
        <v>0</v>
      </c>
      <c r="F116" s="70">
        <f>'Balance Sheet'!E39</f>
        <v>8880.61</v>
      </c>
      <c r="G116" s="70">
        <f t="shared" si="63"/>
        <v>9196.2486777999984</v>
      </c>
      <c r="H116" s="70">
        <f t="shared" si="63"/>
        <v>9752.1543730675003</v>
      </c>
      <c r="I116" s="70">
        <f t="shared" si="63"/>
        <v>10925.735743180147</v>
      </c>
      <c r="J116" s="70">
        <f t="shared" si="63"/>
        <v>12893.280255739091</v>
      </c>
      <c r="K116" s="70">
        <f t="shared" si="63"/>
        <v>15794.782442740163</v>
      </c>
    </row>
    <row r="117" spans="2:11" outlineLevel="1" x14ac:dyDescent="0.3">
      <c r="C117" s="25"/>
      <c r="D117" s="25"/>
      <c r="E117" s="25"/>
      <c r="F117" s="25"/>
    </row>
    <row r="118" spans="2:11" outlineLevel="1" x14ac:dyDescent="0.3">
      <c r="B118" s="46" t="s">
        <v>54</v>
      </c>
      <c r="C118" s="46"/>
      <c r="D118" s="46"/>
      <c r="E118" s="46"/>
      <c r="F118" s="71"/>
      <c r="G118" s="72"/>
      <c r="H118" s="72"/>
      <c r="I118" s="72"/>
      <c r="J118" s="72"/>
      <c r="K118" s="72"/>
    </row>
    <row r="119" spans="2:11" outlineLevel="1" x14ac:dyDescent="0.3">
      <c r="D119" s="25"/>
      <c r="E119" s="25"/>
      <c r="F119" s="25"/>
    </row>
    <row r="120" spans="2:11" ht="15.6" outlineLevel="1" x14ac:dyDescent="0.3">
      <c r="B120" s="117" t="s">
        <v>55</v>
      </c>
      <c r="C120" s="109"/>
      <c r="D120" s="109"/>
      <c r="E120" s="109"/>
      <c r="F120" s="109"/>
      <c r="G120" s="109"/>
      <c r="H120" s="109"/>
      <c r="I120" s="109"/>
      <c r="J120" s="109"/>
      <c r="K120" s="109"/>
    </row>
    <row r="121" spans="2:11" outlineLevel="1" x14ac:dyDescent="0.3">
      <c r="K121" s="172">
        <v>365</v>
      </c>
    </row>
    <row r="122" spans="2:11" outlineLevel="1" x14ac:dyDescent="0.3">
      <c r="B122" s="60" t="s">
        <v>56</v>
      </c>
    </row>
    <row r="123" spans="2:11" outlineLevel="1" x14ac:dyDescent="0.3">
      <c r="B123" t="s">
        <v>20</v>
      </c>
      <c r="D123" s="25">
        <f t="shared" ref="D123:K123" si="64">D13</f>
        <v>13159.76</v>
      </c>
      <c r="E123" s="25">
        <f t="shared" si="64"/>
        <v>16320.12</v>
      </c>
      <c r="F123" s="25">
        <f t="shared" si="64"/>
        <v>20241.41</v>
      </c>
      <c r="G123" s="25">
        <f t="shared" si="64"/>
        <v>26875.591200000003</v>
      </c>
      <c r="H123" s="25">
        <f t="shared" si="64"/>
        <v>36679.999560000004</v>
      </c>
      <c r="I123" s="25">
        <f t="shared" si="64"/>
        <v>51157.955248800004</v>
      </c>
      <c r="J123" s="25">
        <f t="shared" si="64"/>
        <v>72684.432801792005</v>
      </c>
      <c r="K123" s="25">
        <f t="shared" si="64"/>
        <v>105422.57252868096</v>
      </c>
    </row>
    <row r="124" spans="2:11" outlineLevel="1" x14ac:dyDescent="0.3">
      <c r="B124" t="s">
        <v>56</v>
      </c>
      <c r="D124" s="69">
        <f>'Balance Sheet'!C25</f>
        <v>1170.5899999999999</v>
      </c>
      <c r="E124" s="69">
        <f>'Balance Sheet'!D25</f>
        <v>1470.26</v>
      </c>
      <c r="F124" s="69">
        <f>'Balance Sheet'!E25</f>
        <v>2364.9499999999998</v>
      </c>
      <c r="G124" s="74">
        <f>G123*G125/$K$121</f>
        <v>3681.5878356164385</v>
      </c>
      <c r="H124" s="74">
        <f t="shared" ref="H124:K124" si="65">H123*H125/$K$121</f>
        <v>4321.2054276164381</v>
      </c>
      <c r="I124" s="74">
        <f t="shared" si="65"/>
        <v>5746.5100416460282</v>
      </c>
      <c r="J124" s="74">
        <f t="shared" si="65"/>
        <v>7965.4172933470691</v>
      </c>
      <c r="K124" s="74">
        <f t="shared" si="65"/>
        <v>11553.158633280107</v>
      </c>
    </row>
    <row r="125" spans="2:11" outlineLevel="1" x14ac:dyDescent="0.3">
      <c r="B125" s="46" t="s">
        <v>57</v>
      </c>
      <c r="C125" s="46"/>
      <c r="D125" s="170">
        <f>D124/D123*$K$121</f>
        <v>32.467563998127623</v>
      </c>
      <c r="E125" s="170">
        <f t="shared" ref="E125:F125" si="66">E124/E123*$K$121</f>
        <v>32.882411403837715</v>
      </c>
      <c r="F125" s="170">
        <f t="shared" si="66"/>
        <v>42.645583978586465</v>
      </c>
      <c r="G125" s="171">
        <v>50</v>
      </c>
      <c r="H125" s="171">
        <v>43</v>
      </c>
      <c r="I125" s="171">
        <v>41</v>
      </c>
      <c r="J125" s="171">
        <v>40</v>
      </c>
      <c r="K125" s="171">
        <v>40</v>
      </c>
    </row>
    <row r="126" spans="2:11" outlineLevel="1" x14ac:dyDescent="0.3"/>
    <row r="127" spans="2:11" outlineLevel="1" x14ac:dyDescent="0.3">
      <c r="B127" s="60" t="s">
        <v>58</v>
      </c>
    </row>
    <row r="128" spans="2:11" x14ac:dyDescent="0.3">
      <c r="B128" t="s">
        <v>20</v>
      </c>
      <c r="D128" s="25">
        <f t="shared" ref="D128:K128" si="67">D13</f>
        <v>13159.76</v>
      </c>
      <c r="E128" s="25">
        <f t="shared" si="67"/>
        <v>16320.12</v>
      </c>
      <c r="F128" s="25">
        <f t="shared" si="67"/>
        <v>20241.41</v>
      </c>
      <c r="G128" s="25">
        <f t="shared" si="67"/>
        <v>26875.591200000003</v>
      </c>
      <c r="H128" s="25">
        <f t="shared" si="67"/>
        <v>36679.999560000004</v>
      </c>
      <c r="I128" s="25">
        <f t="shared" si="67"/>
        <v>51157.955248800004</v>
      </c>
      <c r="J128" s="25">
        <f t="shared" si="67"/>
        <v>72684.432801792005</v>
      </c>
      <c r="K128" s="25">
        <f t="shared" si="67"/>
        <v>105422.57252868096</v>
      </c>
    </row>
    <row r="129" spans="2:11" x14ac:dyDescent="0.3">
      <c r="B129" t="s">
        <v>58</v>
      </c>
      <c r="D129" s="75">
        <f>'Balance Sheet'!C22</f>
        <v>14.72</v>
      </c>
      <c r="E129" s="75">
        <f>'Balance Sheet'!D22</f>
        <v>17</v>
      </c>
      <c r="F129" s="75">
        <f>'Balance Sheet'!E22</f>
        <v>26.03</v>
      </c>
      <c r="G129" s="74">
        <f>G128*G130/$K$121</f>
        <v>36.81587835616439</v>
      </c>
      <c r="H129" s="74">
        <f t="shared" ref="H129:K129" si="68">H128*H130/$K$121</f>
        <v>50.246574739726036</v>
      </c>
      <c r="I129" s="74">
        <f t="shared" si="68"/>
        <v>70.079390751780835</v>
      </c>
      <c r="J129" s="74">
        <f t="shared" si="68"/>
        <v>99.567716166838366</v>
      </c>
      <c r="K129" s="74">
        <f t="shared" si="68"/>
        <v>144.4144829160013</v>
      </c>
    </row>
    <row r="130" spans="2:11" outlineLevel="1" x14ac:dyDescent="0.3">
      <c r="B130" s="46" t="s">
        <v>59</v>
      </c>
      <c r="C130" s="46"/>
      <c r="D130" s="170">
        <f t="shared" ref="D130:F130" si="69">D129/D128*$K$121</f>
        <v>0.40827492294692302</v>
      </c>
      <c r="E130" s="170">
        <f t="shared" si="69"/>
        <v>0.38020553770437959</v>
      </c>
      <c r="F130" s="170">
        <f t="shared" si="69"/>
        <v>0.46938182666128497</v>
      </c>
      <c r="G130" s="171">
        <v>0.5</v>
      </c>
      <c r="H130" s="171">
        <v>0.5</v>
      </c>
      <c r="I130" s="171">
        <v>0.5</v>
      </c>
      <c r="J130" s="171">
        <v>0.5</v>
      </c>
      <c r="K130" s="171">
        <v>0.5</v>
      </c>
    </row>
    <row r="131" spans="2:11" outlineLevel="1" x14ac:dyDescent="0.3">
      <c r="B131" s="21"/>
      <c r="C131" s="21"/>
      <c r="D131" s="77"/>
      <c r="E131" s="77"/>
      <c r="F131" s="77"/>
      <c r="G131" s="149"/>
      <c r="H131" s="149"/>
      <c r="I131" s="149"/>
      <c r="J131" s="149"/>
      <c r="K131" s="149"/>
    </row>
    <row r="132" spans="2:11" outlineLevel="1" x14ac:dyDescent="0.3">
      <c r="B132" s="21" t="s">
        <v>364</v>
      </c>
      <c r="C132" s="21"/>
      <c r="D132" s="77"/>
      <c r="E132" s="77"/>
      <c r="F132" s="77"/>
      <c r="G132" s="149"/>
      <c r="H132" s="149"/>
      <c r="I132" s="149"/>
      <c r="J132" s="149"/>
      <c r="K132" s="149"/>
    </row>
    <row r="133" spans="2:11" outlineLevel="1" x14ac:dyDescent="0.3">
      <c r="B133" s="5" t="s">
        <v>20</v>
      </c>
      <c r="C133" s="5"/>
      <c r="D133" s="167">
        <f t="shared" ref="D133:K133" si="70">D13</f>
        <v>13159.76</v>
      </c>
      <c r="E133" s="167">
        <f t="shared" si="70"/>
        <v>16320.12</v>
      </c>
      <c r="F133" s="167">
        <f t="shared" si="70"/>
        <v>20241.41</v>
      </c>
      <c r="G133" s="167">
        <f t="shared" si="70"/>
        <v>26875.591200000003</v>
      </c>
      <c r="H133" s="167">
        <f t="shared" si="70"/>
        <v>36679.999560000004</v>
      </c>
      <c r="I133" s="167">
        <f t="shared" si="70"/>
        <v>51157.955248800004</v>
      </c>
      <c r="J133" s="167">
        <f t="shared" si="70"/>
        <v>72684.432801792005</v>
      </c>
      <c r="K133" s="167">
        <f t="shared" si="70"/>
        <v>105422.57252868096</v>
      </c>
    </row>
    <row r="134" spans="2:11" outlineLevel="1" x14ac:dyDescent="0.3">
      <c r="B134" s="5" t="s">
        <v>365</v>
      </c>
      <c r="C134" s="5"/>
      <c r="D134" s="167">
        <f>'Balance Sheet'!C29</f>
        <v>2293.56</v>
      </c>
      <c r="E134" s="167">
        <f>'Balance Sheet'!D29</f>
        <v>4181.1499999999996</v>
      </c>
      <c r="F134" s="167">
        <f>'Balance Sheet'!E29</f>
        <v>3730.6</v>
      </c>
      <c r="G134" s="36">
        <f>G133*G135</f>
        <v>4031.3386800000003</v>
      </c>
      <c r="H134" s="36">
        <f t="shared" ref="H134:K134" si="71">H133*H135</f>
        <v>4401.5999472000003</v>
      </c>
      <c r="I134" s="36">
        <f t="shared" si="71"/>
        <v>5115.7955248800008</v>
      </c>
      <c r="J134" s="36">
        <f t="shared" si="71"/>
        <v>5814.7546241433602</v>
      </c>
      <c r="K134" s="36">
        <f t="shared" si="71"/>
        <v>6325.3543517208573</v>
      </c>
    </row>
    <row r="135" spans="2:11" outlineLevel="1" x14ac:dyDescent="0.3">
      <c r="B135" s="46" t="s">
        <v>61</v>
      </c>
      <c r="C135" s="46"/>
      <c r="D135" s="169">
        <f>D134/D133</f>
        <v>0.17428585323744505</v>
      </c>
      <c r="E135" s="169">
        <f t="shared" ref="E135:F135" si="72">E134/E133</f>
        <v>0.2561960328723073</v>
      </c>
      <c r="F135" s="169">
        <f t="shared" si="72"/>
        <v>0.18430534236498347</v>
      </c>
      <c r="G135" s="48">
        <v>0.15</v>
      </c>
      <c r="H135" s="48">
        <v>0.12</v>
      </c>
      <c r="I135" s="48">
        <v>0.1</v>
      </c>
      <c r="J135" s="48">
        <v>0.08</v>
      </c>
      <c r="K135" s="48">
        <v>0.06</v>
      </c>
    </row>
    <row r="136" spans="2:11" outlineLevel="1" x14ac:dyDescent="0.3"/>
    <row r="137" spans="2:11" outlineLevel="1" x14ac:dyDescent="0.3">
      <c r="B137" s="60" t="s">
        <v>60</v>
      </c>
    </row>
    <row r="138" spans="2:11" outlineLevel="1" x14ac:dyDescent="0.3">
      <c r="B138" t="s">
        <v>20</v>
      </c>
      <c r="D138" s="25">
        <f t="shared" ref="D138:K138" si="73">D13</f>
        <v>13159.76</v>
      </c>
      <c r="E138" s="25">
        <f t="shared" si="73"/>
        <v>16320.12</v>
      </c>
      <c r="F138" s="25">
        <f t="shared" si="73"/>
        <v>20241.41</v>
      </c>
      <c r="G138" s="25">
        <f t="shared" si="73"/>
        <v>26875.591200000003</v>
      </c>
      <c r="H138" s="25">
        <f t="shared" si="73"/>
        <v>36679.999560000004</v>
      </c>
      <c r="I138" s="25">
        <f t="shared" si="73"/>
        <v>51157.955248800004</v>
      </c>
      <c r="J138" s="25">
        <f t="shared" si="73"/>
        <v>72684.432801792005</v>
      </c>
      <c r="K138" s="25">
        <f t="shared" si="73"/>
        <v>105422.57252868096</v>
      </c>
    </row>
    <row r="139" spans="2:11" outlineLevel="1" x14ac:dyDescent="0.3">
      <c r="B139" t="s">
        <v>60</v>
      </c>
      <c r="D139" s="69">
        <f>'Balance Sheet'!C31</f>
        <v>558.28</v>
      </c>
      <c r="E139" s="69">
        <f>'Balance Sheet'!D31</f>
        <v>1101.21</v>
      </c>
      <c r="F139" s="69">
        <f>'Balance Sheet'!E31</f>
        <v>1441.21</v>
      </c>
      <c r="G139" s="73">
        <f>G138*G140</f>
        <v>1612.535472</v>
      </c>
      <c r="H139" s="73">
        <f t="shared" ref="H139:K139" si="74">H138*H140</f>
        <v>2200.7999736000002</v>
      </c>
      <c r="I139" s="73">
        <f t="shared" si="74"/>
        <v>2557.8977624400004</v>
      </c>
      <c r="J139" s="73">
        <f t="shared" si="74"/>
        <v>2907.3773120716801</v>
      </c>
      <c r="K139" s="73">
        <f t="shared" si="74"/>
        <v>3162.6771758604286</v>
      </c>
    </row>
    <row r="140" spans="2:11" outlineLevel="1" x14ac:dyDescent="0.3">
      <c r="B140" s="46" t="s">
        <v>61</v>
      </c>
      <c r="C140" s="46"/>
      <c r="D140" s="169">
        <f>D139/D138</f>
        <v>4.2423266077800809E-2</v>
      </c>
      <c r="E140" s="169">
        <f t="shared" ref="E140:F140" si="75">E139/E138</f>
        <v>6.7475606797008841E-2</v>
      </c>
      <c r="F140" s="169">
        <f t="shared" si="75"/>
        <v>7.1201067514565439E-2</v>
      </c>
      <c r="G140" s="48">
        <v>0.06</v>
      </c>
      <c r="H140" s="48">
        <v>0.06</v>
      </c>
      <c r="I140" s="48">
        <v>0.05</v>
      </c>
      <c r="J140" s="48">
        <v>0.04</v>
      </c>
      <c r="K140" s="48">
        <v>0.03</v>
      </c>
    </row>
    <row r="141" spans="2:11" x14ac:dyDescent="0.3">
      <c r="D141" s="29"/>
    </row>
    <row r="142" spans="2:11" x14ac:dyDescent="0.3">
      <c r="B142" s="60" t="s">
        <v>62</v>
      </c>
    </row>
    <row r="143" spans="2:11" outlineLevel="1" x14ac:dyDescent="0.3">
      <c r="B143" t="s">
        <v>20</v>
      </c>
      <c r="D143" s="25">
        <f t="shared" ref="D143:K143" si="76">D13</f>
        <v>13159.76</v>
      </c>
      <c r="E143" s="25">
        <f t="shared" si="76"/>
        <v>16320.12</v>
      </c>
      <c r="F143" s="25">
        <f t="shared" si="76"/>
        <v>20241.41</v>
      </c>
      <c r="G143" s="25">
        <f t="shared" si="76"/>
        <v>26875.591200000003</v>
      </c>
      <c r="H143" s="25">
        <f t="shared" si="76"/>
        <v>36679.999560000004</v>
      </c>
      <c r="I143" s="25">
        <f t="shared" si="76"/>
        <v>51157.955248800004</v>
      </c>
      <c r="J143" s="25">
        <f t="shared" si="76"/>
        <v>72684.432801792005</v>
      </c>
      <c r="K143" s="25">
        <f t="shared" si="76"/>
        <v>105422.57252868096</v>
      </c>
    </row>
    <row r="144" spans="2:11" outlineLevel="1" x14ac:dyDescent="0.3">
      <c r="B144" t="s">
        <v>62</v>
      </c>
      <c r="D144" s="69">
        <f>'Balance Sheet'!C54+'Balance Sheet'!C53</f>
        <v>2020.24</v>
      </c>
      <c r="E144" s="69">
        <f>'Balance Sheet'!D54+'Balance Sheet'!D53</f>
        <v>2293.9499999999998</v>
      </c>
      <c r="F144" s="69">
        <f>'Balance Sheet'!E54+'Balance Sheet'!E53</f>
        <v>2721.62</v>
      </c>
      <c r="G144" s="74">
        <f>G143*G145/$K$121</f>
        <v>3313.4290520547947</v>
      </c>
      <c r="H144" s="74">
        <f t="shared" ref="H144:K144" si="77">H143*H145/$K$121</f>
        <v>4019.7259791780825</v>
      </c>
      <c r="I144" s="74">
        <f t="shared" si="77"/>
        <v>4905.5573526246581</v>
      </c>
      <c r="J144" s="74">
        <f t="shared" si="77"/>
        <v>5974.0629700103018</v>
      </c>
      <c r="K144" s="74">
        <f t="shared" si="77"/>
        <v>7220.7241458000653</v>
      </c>
    </row>
    <row r="145" spans="2:11" outlineLevel="1" x14ac:dyDescent="0.3">
      <c r="B145" s="46" t="s">
        <v>63</v>
      </c>
      <c r="C145" s="46"/>
      <c r="D145" s="170">
        <f>D144/D143*$K$121</f>
        <v>56.033514289014391</v>
      </c>
      <c r="E145" s="170">
        <f t="shared" ref="E145:F145" si="78">E144/E143*$K$121</f>
        <v>51.304264306880093</v>
      </c>
      <c r="F145" s="170">
        <f t="shared" si="78"/>
        <v>49.077178911943385</v>
      </c>
      <c r="G145" s="171">
        <v>45</v>
      </c>
      <c r="H145" s="171">
        <v>40</v>
      </c>
      <c r="I145" s="171">
        <v>35</v>
      </c>
      <c r="J145" s="171">
        <v>30</v>
      </c>
      <c r="K145" s="171">
        <v>25</v>
      </c>
    </row>
    <row r="146" spans="2:11" outlineLevel="1" x14ac:dyDescent="0.3">
      <c r="D146" s="29"/>
    </row>
    <row r="147" spans="2:11" outlineLevel="1" x14ac:dyDescent="0.3">
      <c r="B147" s="60" t="s">
        <v>67</v>
      </c>
      <c r="D147" s="29"/>
    </row>
    <row r="148" spans="2:11" x14ac:dyDescent="0.3">
      <c r="B148" t="s">
        <v>20</v>
      </c>
      <c r="D148" s="25">
        <f t="shared" ref="D148:K148" si="79">D13</f>
        <v>13159.76</v>
      </c>
      <c r="E148" s="25">
        <f t="shared" si="79"/>
        <v>16320.12</v>
      </c>
      <c r="F148" s="25">
        <f t="shared" si="79"/>
        <v>20241.41</v>
      </c>
      <c r="G148" s="25">
        <f t="shared" si="79"/>
        <v>26875.591200000003</v>
      </c>
      <c r="H148" s="25">
        <f t="shared" si="79"/>
        <v>36679.999560000004</v>
      </c>
      <c r="I148" s="25">
        <f t="shared" si="79"/>
        <v>51157.955248800004</v>
      </c>
      <c r="J148" s="25">
        <f t="shared" si="79"/>
        <v>72684.432801792005</v>
      </c>
      <c r="K148" s="25">
        <f t="shared" si="79"/>
        <v>105422.57252868096</v>
      </c>
    </row>
    <row r="149" spans="2:11" x14ac:dyDescent="0.3">
      <c r="B149" t="s">
        <v>67</v>
      </c>
      <c r="D149" s="69">
        <f>'Balance Sheet'!C56</f>
        <v>90.63</v>
      </c>
      <c r="E149" s="69">
        <f>'Balance Sheet'!D56</f>
        <v>115.03</v>
      </c>
      <c r="F149" s="69">
        <f>'Balance Sheet'!E56</f>
        <v>156.59</v>
      </c>
      <c r="G149" s="73">
        <f>G148*G150</f>
        <v>268.75591200000002</v>
      </c>
      <c r="H149" s="73">
        <f t="shared" ref="H149:K149" si="80">H148*H150</f>
        <v>366.79999560000005</v>
      </c>
      <c r="I149" s="73">
        <f t="shared" si="80"/>
        <v>511.57955248800005</v>
      </c>
      <c r="J149" s="73">
        <f t="shared" si="80"/>
        <v>726.84432801792002</v>
      </c>
      <c r="K149" s="73">
        <f t="shared" si="80"/>
        <v>1054.2257252868096</v>
      </c>
    </row>
    <row r="150" spans="2:11" x14ac:dyDescent="0.3">
      <c r="B150" s="46" t="s">
        <v>68</v>
      </c>
      <c r="C150" s="46"/>
      <c r="D150" s="169">
        <f>D149/D148</f>
        <v>6.8869037125297112E-3</v>
      </c>
      <c r="E150" s="169">
        <f t="shared" ref="E150:F150" si="81">E149/E148</f>
        <v>7.0483550366051227E-3</v>
      </c>
      <c r="F150" s="169">
        <f t="shared" si="81"/>
        <v>7.7361211496629933E-3</v>
      </c>
      <c r="G150" s="48">
        <v>0.01</v>
      </c>
      <c r="H150" s="48">
        <v>0.01</v>
      </c>
      <c r="I150" s="48">
        <v>0.01</v>
      </c>
      <c r="J150" s="48">
        <v>0.01</v>
      </c>
      <c r="K150" s="48">
        <v>0.01</v>
      </c>
    </row>
    <row r="151" spans="2:11" x14ac:dyDescent="0.3">
      <c r="B151" s="21"/>
      <c r="C151" s="21"/>
      <c r="D151" s="78"/>
      <c r="E151" s="78"/>
      <c r="F151" s="78"/>
      <c r="G151" s="78"/>
      <c r="H151" s="78"/>
      <c r="I151" s="78"/>
      <c r="J151" s="78"/>
      <c r="K151" s="78"/>
    </row>
    <row r="152" spans="2:11" x14ac:dyDescent="0.3">
      <c r="B152" s="60" t="s">
        <v>369</v>
      </c>
      <c r="D152" s="29"/>
    </row>
    <row r="153" spans="2:11" x14ac:dyDescent="0.3">
      <c r="B153" t="s">
        <v>110</v>
      </c>
      <c r="D153" s="69">
        <f>'Balance Sheet'!C55</f>
        <v>1179.22</v>
      </c>
      <c r="E153" s="69">
        <f>'Balance Sheet'!D55</f>
        <v>998.08</v>
      </c>
      <c r="F153" s="69">
        <f>'Balance Sheet'!E55</f>
        <v>1501.07</v>
      </c>
      <c r="G153" s="74">
        <f>G154*G13</f>
        <v>2150.0472960000002</v>
      </c>
      <c r="H153" s="74">
        <f>H154*H13</f>
        <v>2640.9599683199999</v>
      </c>
      <c r="I153" s="74">
        <f>I154*I13</f>
        <v>3529.8989121672007</v>
      </c>
      <c r="J153" s="74">
        <f>J154*J13</f>
        <v>4797.1725649182727</v>
      </c>
      <c r="K153" s="74">
        <f>K154*K13</f>
        <v>6325.3543517208573</v>
      </c>
    </row>
    <row r="154" spans="2:11" x14ac:dyDescent="0.3">
      <c r="B154" s="46" t="s">
        <v>66</v>
      </c>
      <c r="C154" s="46"/>
      <c r="D154" s="169">
        <f>D153/D13</f>
        <v>8.9608017167486342E-2</v>
      </c>
      <c r="E154" s="169">
        <f>E153/E13</f>
        <v>6.1156413065590207E-2</v>
      </c>
      <c r="F154" s="169">
        <f>F153/F13</f>
        <v>7.4158371378278493E-2</v>
      </c>
      <c r="G154" s="48">
        <v>0.08</v>
      </c>
      <c r="H154" s="48">
        <v>7.1999999999999995E-2</v>
      </c>
      <c r="I154" s="48">
        <v>6.9000000000000006E-2</v>
      </c>
      <c r="J154" s="48">
        <v>6.6000000000000003E-2</v>
      </c>
      <c r="K154" s="48">
        <v>0.06</v>
      </c>
    </row>
    <row r="155" spans="2:11" x14ac:dyDescent="0.3">
      <c r="D155" s="151"/>
    </row>
    <row r="156" spans="2:11" s="20" customFormat="1" x14ac:dyDescent="0.3">
      <c r="B156" s="60" t="s">
        <v>69</v>
      </c>
      <c r="C156"/>
      <c r="D156"/>
      <c r="E156"/>
      <c r="F156"/>
      <c r="G156"/>
      <c r="H156"/>
      <c r="I156"/>
      <c r="J156"/>
      <c r="K156"/>
    </row>
    <row r="157" spans="2:11" x14ac:dyDescent="0.3">
      <c r="B157" t="s">
        <v>20</v>
      </c>
      <c r="D157" s="25">
        <f t="shared" ref="D157:K157" si="82">D13</f>
        <v>13159.76</v>
      </c>
      <c r="E157" s="25">
        <f t="shared" si="82"/>
        <v>16320.12</v>
      </c>
      <c r="F157" s="25">
        <f t="shared" si="82"/>
        <v>20241.41</v>
      </c>
      <c r="G157" s="25">
        <f t="shared" si="82"/>
        <v>26875.591200000003</v>
      </c>
      <c r="H157" s="25">
        <f t="shared" si="82"/>
        <v>36679.999560000004</v>
      </c>
      <c r="I157" s="25">
        <f t="shared" si="82"/>
        <v>51157.955248800004</v>
      </c>
      <c r="J157" s="25">
        <f t="shared" si="82"/>
        <v>72684.432801792005</v>
      </c>
      <c r="K157" s="25">
        <f t="shared" si="82"/>
        <v>105422.57252868096</v>
      </c>
    </row>
    <row r="158" spans="2:11" x14ac:dyDescent="0.3">
      <c r="B158" t="s">
        <v>69</v>
      </c>
      <c r="D158" s="69">
        <f>'Balance Sheet'!C57</f>
        <v>1148.1099999999999</v>
      </c>
      <c r="E158" s="69">
        <f>'Balance Sheet'!D57</f>
        <v>1335.67</v>
      </c>
      <c r="F158" s="69">
        <f>'Balance Sheet'!E57</f>
        <v>1853.53</v>
      </c>
      <c r="G158" s="74">
        <f>G157*G159</f>
        <v>2418.8032080000003</v>
      </c>
      <c r="H158" s="74">
        <f t="shared" ref="H158:K158" si="83">H157*H159</f>
        <v>3117.7999626000005</v>
      </c>
      <c r="I158" s="74">
        <f t="shared" si="83"/>
        <v>4092.6364199040004</v>
      </c>
      <c r="J158" s="74">
        <f t="shared" si="83"/>
        <v>5451.3324601344002</v>
      </c>
      <c r="K158" s="74">
        <f t="shared" si="83"/>
        <v>7379.5800770076676</v>
      </c>
    </row>
    <row r="159" spans="2:11" x14ac:dyDescent="0.3">
      <c r="B159" s="46" t="s">
        <v>70</v>
      </c>
      <c r="C159" s="46"/>
      <c r="D159" s="169">
        <f>D158/D157</f>
        <v>8.7243992291652722E-2</v>
      </c>
      <c r="E159" s="169">
        <f t="shared" ref="E159:F159" si="84">E158/E157</f>
        <v>8.1841922730960318E-2</v>
      </c>
      <c r="F159" s="169">
        <f t="shared" si="84"/>
        <v>9.1571189951688142E-2</v>
      </c>
      <c r="G159" s="48">
        <v>0.09</v>
      </c>
      <c r="H159" s="48">
        <v>8.5000000000000006E-2</v>
      </c>
      <c r="I159" s="48">
        <v>0.08</v>
      </c>
      <c r="J159" s="48">
        <v>7.4999999999999997E-2</v>
      </c>
      <c r="K159" s="48">
        <v>7.0000000000000007E-2</v>
      </c>
    </row>
    <row r="160" spans="2:11" x14ac:dyDescent="0.3">
      <c r="B160" s="21"/>
      <c r="C160" s="21"/>
      <c r="D160" s="151"/>
      <c r="E160" s="78"/>
      <c r="F160" s="78"/>
      <c r="G160" s="78"/>
      <c r="H160" s="78"/>
      <c r="I160" s="78"/>
      <c r="J160" s="78"/>
    </row>
    <row r="161" spans="2:11" x14ac:dyDescent="0.3">
      <c r="B161" s="79" t="s">
        <v>71</v>
      </c>
      <c r="C161" s="21"/>
      <c r="D161" s="21"/>
      <c r="E161" s="78"/>
      <c r="F161" s="78"/>
      <c r="G161" s="78"/>
      <c r="H161" s="78"/>
      <c r="I161" s="78"/>
      <c r="J161" s="78"/>
    </row>
    <row r="162" spans="2:11" x14ac:dyDescent="0.3">
      <c r="B162" t="s">
        <v>58</v>
      </c>
      <c r="C162" s="21"/>
      <c r="D162" s="86">
        <f>-2.59*-1</f>
        <v>2.59</v>
      </c>
      <c r="E162" s="86">
        <f>-2.28*-1</f>
        <v>2.2799999999999998</v>
      </c>
      <c r="F162" s="86">
        <f>-9.03*-1</f>
        <v>9.0299999999999994</v>
      </c>
      <c r="G162" s="80">
        <f>G129-F129</f>
        <v>10.785878356164389</v>
      </c>
      <c r="H162" s="80">
        <f>H129-G129</f>
        <v>13.430696383561646</v>
      </c>
      <c r="I162" s="80">
        <f>I129-H129</f>
        <v>19.832816012054799</v>
      </c>
      <c r="J162" s="80">
        <f>J129-I129</f>
        <v>29.488325415057531</v>
      </c>
      <c r="K162" s="80">
        <f>K129-J129</f>
        <v>44.846766749162938</v>
      </c>
    </row>
    <row r="163" spans="2:11" x14ac:dyDescent="0.3">
      <c r="B163" t="s">
        <v>72</v>
      </c>
      <c r="C163" s="21"/>
      <c r="D163" s="86">
        <f>-460.8*-1</f>
        <v>460.8</v>
      </c>
      <c r="E163" s="86">
        <f>-400.35*-1</f>
        <v>400.35</v>
      </c>
      <c r="F163" s="86">
        <f>-948.57*-1</f>
        <v>948.57</v>
      </c>
      <c r="G163" s="80">
        <f>G124-F124</f>
        <v>1316.6378356164387</v>
      </c>
      <c r="H163" s="80">
        <f>H124-G124</f>
        <v>639.6175919999996</v>
      </c>
      <c r="I163" s="80">
        <f>I124-H124</f>
        <v>1425.3046140295901</v>
      </c>
      <c r="J163" s="80">
        <f>J124-I124</f>
        <v>2218.9072517010409</v>
      </c>
      <c r="K163" s="80">
        <f>K124-J124</f>
        <v>3587.741339933038</v>
      </c>
    </row>
    <row r="164" spans="2:11" x14ac:dyDescent="0.3">
      <c r="B164" t="s">
        <v>374</v>
      </c>
      <c r="C164" s="21"/>
      <c r="D164" s="86">
        <f>-319.36*-1</f>
        <v>319.36</v>
      </c>
      <c r="E164" s="86">
        <f>-266.55*-1</f>
        <v>266.55</v>
      </c>
      <c r="F164" s="86">
        <f>-317.97*-1</f>
        <v>317.97000000000003</v>
      </c>
      <c r="G164" s="80">
        <f>G134-F134</f>
        <v>300.73868000000039</v>
      </c>
      <c r="H164" s="80">
        <f>H134-G134</f>
        <v>370.26126720000002</v>
      </c>
      <c r="I164" s="80">
        <f>I134-H134</f>
        <v>714.1955776800005</v>
      </c>
      <c r="J164" s="80">
        <f>J134-I134</f>
        <v>698.95909926335935</v>
      </c>
      <c r="K164" s="80">
        <f>K134-J134</f>
        <v>510.59972757749711</v>
      </c>
    </row>
    <row r="165" spans="2:11" x14ac:dyDescent="0.3">
      <c r="B165" t="s">
        <v>73</v>
      </c>
      <c r="C165" s="21"/>
      <c r="D165" s="86">
        <f>-947.47*-1</f>
        <v>947.47</v>
      </c>
      <c r="E165" s="86">
        <f>-167.42*-1</f>
        <v>167.42</v>
      </c>
      <c r="F165" s="86">
        <f>-29.93*-1</f>
        <v>29.93</v>
      </c>
      <c r="G165" s="80">
        <f>G139-F139</f>
        <v>171.32547199999999</v>
      </c>
      <c r="H165" s="80">
        <f>H139-G139</f>
        <v>588.26450160000013</v>
      </c>
      <c r="I165" s="80">
        <f>I139-H139</f>
        <v>357.09778884000025</v>
      </c>
      <c r="J165" s="80">
        <f>J139-I139</f>
        <v>349.47954963167967</v>
      </c>
      <c r="K165" s="80">
        <f>K139-J139</f>
        <v>255.29986378874855</v>
      </c>
    </row>
    <row r="166" spans="2:11" x14ac:dyDescent="0.3">
      <c r="B166" s="81" t="s">
        <v>74</v>
      </c>
      <c r="C166" s="81"/>
      <c r="D166" s="70">
        <f t="shared" ref="D166:K166" si="85">SUM(D162:D165)</f>
        <v>1730.22</v>
      </c>
      <c r="E166" s="70">
        <f t="shared" si="85"/>
        <v>836.6</v>
      </c>
      <c r="F166" s="70">
        <f t="shared" si="85"/>
        <v>1305.5000000000002</v>
      </c>
      <c r="G166" s="70">
        <f t="shared" si="85"/>
        <v>1799.4878659726035</v>
      </c>
      <c r="H166" s="70">
        <f t="shared" si="85"/>
        <v>1611.5740571835613</v>
      </c>
      <c r="I166" s="70">
        <f t="shared" si="85"/>
        <v>2516.4307965616454</v>
      </c>
      <c r="J166" s="70">
        <f t="shared" si="85"/>
        <v>3296.8342260111376</v>
      </c>
      <c r="K166" s="70">
        <f t="shared" si="85"/>
        <v>4398.487698048446</v>
      </c>
    </row>
    <row r="167" spans="2:11" x14ac:dyDescent="0.3">
      <c r="B167" s="21"/>
      <c r="C167" s="21"/>
      <c r="D167" s="21"/>
      <c r="E167" s="78"/>
      <c r="H167" s="78"/>
      <c r="I167" s="78"/>
      <c r="J167" s="78"/>
    </row>
    <row r="168" spans="2:11" x14ac:dyDescent="0.3">
      <c r="B168" t="s">
        <v>75</v>
      </c>
      <c r="C168" s="21"/>
      <c r="D168" s="86">
        <v>35.880000000000003</v>
      </c>
      <c r="E168" s="86">
        <v>273.58</v>
      </c>
      <c r="F168" s="86">
        <v>431.24</v>
      </c>
      <c r="G168" s="37">
        <f>G144-F144</f>
        <v>591.80905205479485</v>
      </c>
      <c r="H168" s="37">
        <f>H144-G144</f>
        <v>706.29692712328779</v>
      </c>
      <c r="I168" s="37">
        <f>I144-H144</f>
        <v>885.83137344657553</v>
      </c>
      <c r="J168" s="37">
        <f>J144-I144</f>
        <v>1068.5056173856437</v>
      </c>
      <c r="K168" s="37">
        <f>K144-J144</f>
        <v>1246.6611757897635</v>
      </c>
    </row>
    <row r="169" spans="2:11" x14ac:dyDescent="0.3">
      <c r="B169" t="s">
        <v>67</v>
      </c>
      <c r="D169" s="86">
        <v>24.22</v>
      </c>
      <c r="E169" s="86">
        <v>33.43</v>
      </c>
      <c r="F169" s="86">
        <v>73.8</v>
      </c>
      <c r="G169" s="37">
        <f>G149-F149</f>
        <v>112.16591200000002</v>
      </c>
      <c r="H169" s="37">
        <f>H149-G149</f>
        <v>98.044083600000022</v>
      </c>
      <c r="I169" s="37">
        <f>I149-H149</f>
        <v>144.779556888</v>
      </c>
      <c r="J169" s="37">
        <f>J149-I149</f>
        <v>215.26477552991997</v>
      </c>
      <c r="K169" s="37">
        <f>K149-J149</f>
        <v>327.3813972688896</v>
      </c>
    </row>
    <row r="170" spans="2:11" x14ac:dyDescent="0.3">
      <c r="B170" t="s">
        <v>65</v>
      </c>
      <c r="C170" s="21"/>
      <c r="D170" s="86">
        <v>-79.13</v>
      </c>
      <c r="E170" s="86">
        <v>-222.24</v>
      </c>
      <c r="F170" s="86">
        <v>502.99</v>
      </c>
      <c r="G170" s="37">
        <f>G153-F153</f>
        <v>648.97729600000025</v>
      </c>
      <c r="H170" s="37">
        <f>H153-G153</f>
        <v>490.91267231999973</v>
      </c>
      <c r="I170" s="37">
        <f>I153-H153</f>
        <v>888.93894384720079</v>
      </c>
      <c r="J170" s="37">
        <f>J153-I153</f>
        <v>1267.2736527510719</v>
      </c>
      <c r="K170" s="37">
        <f>K153-J153</f>
        <v>1528.1817868025846</v>
      </c>
    </row>
    <row r="171" spans="2:11" x14ac:dyDescent="0.3">
      <c r="B171" t="s">
        <v>76</v>
      </c>
      <c r="C171" s="21"/>
      <c r="D171" s="86">
        <v>235.69</v>
      </c>
      <c r="E171" s="86">
        <v>187.56</v>
      </c>
      <c r="F171" s="86">
        <v>517.86</v>
      </c>
      <c r="G171" s="37">
        <f t="shared" ref="G171:K171" si="86">G158-F158</f>
        <v>565.2732080000003</v>
      </c>
      <c r="H171" s="37">
        <f t="shared" si="86"/>
        <v>698.99675460000026</v>
      </c>
      <c r="I171" s="37">
        <f t="shared" si="86"/>
        <v>974.83645730399985</v>
      </c>
      <c r="J171" s="37">
        <f t="shared" si="86"/>
        <v>1358.6960402303998</v>
      </c>
      <c r="K171" s="37">
        <f t="shared" si="86"/>
        <v>1928.2476168732674</v>
      </c>
    </row>
    <row r="172" spans="2:11" x14ac:dyDescent="0.3">
      <c r="B172" s="81" t="s">
        <v>77</v>
      </c>
      <c r="C172" s="81"/>
      <c r="D172" s="70">
        <f>SUM(D168:D171)</f>
        <v>216.66</v>
      </c>
      <c r="E172" s="70">
        <f>SUM(E168:E171)</f>
        <v>272.33</v>
      </c>
      <c r="F172" s="70">
        <f>SUM(F168:F171)</f>
        <v>1525.8899999999999</v>
      </c>
      <c r="G172" s="70">
        <f>SUM(G168:G171)</f>
        <v>1918.2254680547956</v>
      </c>
      <c r="H172" s="70">
        <f t="shared" ref="H172:K172" si="87">SUM(H168:H171)</f>
        <v>1994.2504376432878</v>
      </c>
      <c r="I172" s="70">
        <f t="shared" si="87"/>
        <v>2894.3863314857763</v>
      </c>
      <c r="J172" s="70">
        <f t="shared" si="87"/>
        <v>3909.7400858970354</v>
      </c>
      <c r="K172" s="70">
        <f t="shared" si="87"/>
        <v>5030.471976734505</v>
      </c>
    </row>
    <row r="173" spans="2:11" x14ac:dyDescent="0.3">
      <c r="B173" s="21"/>
      <c r="C173" s="21"/>
      <c r="D173" s="21"/>
      <c r="E173" s="82"/>
      <c r="F173" s="83"/>
      <c r="G173" s="83"/>
      <c r="H173" s="83"/>
      <c r="I173" s="83"/>
      <c r="J173" s="83"/>
    </row>
    <row r="174" spans="2:11" x14ac:dyDescent="0.3">
      <c r="B174" s="113" t="s">
        <v>78</v>
      </c>
      <c r="C174" s="113"/>
      <c r="D174" s="148">
        <f>D166-D172</f>
        <v>1513.56</v>
      </c>
      <c r="E174" s="148">
        <f t="shared" ref="E174:K174" si="88">E166-E172</f>
        <v>564.27</v>
      </c>
      <c r="F174" s="148">
        <f t="shared" si="88"/>
        <v>-220.38999999999965</v>
      </c>
      <c r="G174" s="148">
        <f t="shared" si="88"/>
        <v>-118.7376020821921</v>
      </c>
      <c r="H174" s="148">
        <f t="shared" si="88"/>
        <v>-382.67638045972649</v>
      </c>
      <c r="I174" s="148">
        <f t="shared" si="88"/>
        <v>-377.95553492413092</v>
      </c>
      <c r="J174" s="148">
        <f t="shared" si="88"/>
        <v>-612.90585988589783</v>
      </c>
      <c r="K174" s="148">
        <f t="shared" si="88"/>
        <v>-631.98427868605904</v>
      </c>
    </row>
    <row r="175" spans="2:11" x14ac:dyDescent="0.3">
      <c r="B175" s="21"/>
      <c r="C175" s="21"/>
      <c r="D175" s="43"/>
      <c r="E175" s="43"/>
      <c r="F175" s="43"/>
      <c r="G175" s="43"/>
      <c r="H175" s="43"/>
      <c r="I175" s="43"/>
      <c r="J175" s="43"/>
      <c r="K175" s="43"/>
    </row>
    <row r="176" spans="2:11" x14ac:dyDescent="0.3">
      <c r="B176" s="79" t="s">
        <v>363</v>
      </c>
      <c r="C176" s="21"/>
      <c r="D176" s="43"/>
      <c r="E176" s="43"/>
      <c r="F176" s="43"/>
      <c r="G176" s="43"/>
      <c r="H176" s="43"/>
      <c r="I176" s="43"/>
      <c r="J176" s="43"/>
      <c r="K176" s="43"/>
    </row>
    <row r="177" spans="2:11" x14ac:dyDescent="0.3">
      <c r="B177" s="21" t="s">
        <v>20</v>
      </c>
      <c r="C177" s="21"/>
      <c r="D177" s="35">
        <f t="shared" ref="D177:K177" si="89">D13</f>
        <v>13159.76</v>
      </c>
      <c r="E177" s="35">
        <f t="shared" si="89"/>
        <v>16320.12</v>
      </c>
      <c r="F177" s="35">
        <f t="shared" si="89"/>
        <v>20241.41</v>
      </c>
      <c r="G177" s="35">
        <f t="shared" si="89"/>
        <v>26875.591200000003</v>
      </c>
      <c r="H177" s="35">
        <f t="shared" si="89"/>
        <v>36679.999560000004</v>
      </c>
      <c r="I177" s="35">
        <f t="shared" si="89"/>
        <v>51157.955248800004</v>
      </c>
      <c r="J177" s="35">
        <f t="shared" si="89"/>
        <v>72684.432801792005</v>
      </c>
      <c r="K177" s="35">
        <f t="shared" si="89"/>
        <v>105422.57252868096</v>
      </c>
    </row>
    <row r="178" spans="2:11" x14ac:dyDescent="0.3">
      <c r="B178" s="5" t="s">
        <v>366</v>
      </c>
      <c r="C178" s="21"/>
      <c r="D178" s="35">
        <f>'Balance Sheet'!C24+'Balance Sheet'!C28</f>
        <v>145.91999999999999</v>
      </c>
      <c r="E178" s="35">
        <f>'Balance Sheet'!D24+'Balance Sheet'!D28</f>
        <v>517.63</v>
      </c>
      <c r="F178" s="35">
        <f>'Balance Sheet'!E24+'Balance Sheet'!E28</f>
        <v>300</v>
      </c>
      <c r="G178" s="37">
        <f>G177*G179</f>
        <v>268.75591200000002</v>
      </c>
      <c r="H178" s="37">
        <f>H177*H179</f>
        <v>366.79999560000005</v>
      </c>
      <c r="I178" s="37">
        <f>I177*I179</f>
        <v>511.57955248800005</v>
      </c>
      <c r="J178" s="37">
        <f>J177*J179</f>
        <v>726.84432801792002</v>
      </c>
      <c r="K178" s="37">
        <f>K177*K179</f>
        <v>1054.2257252868096</v>
      </c>
    </row>
    <row r="179" spans="2:11" x14ac:dyDescent="0.3">
      <c r="B179" s="46"/>
      <c r="C179" s="46"/>
      <c r="D179" s="169">
        <f>D178/D177</f>
        <v>1.1088348115771108E-2</v>
      </c>
      <c r="E179" s="169">
        <f>E178/E177</f>
        <v>3.1717291294426755E-2</v>
      </c>
      <c r="F179" s="169">
        <f>F178/F177</f>
        <v>1.4821101889641088E-2</v>
      </c>
      <c r="G179" s="48">
        <v>0.01</v>
      </c>
      <c r="H179" s="48">
        <v>0.01</v>
      </c>
      <c r="I179" s="48">
        <v>0.01</v>
      </c>
      <c r="J179" s="48">
        <v>0.01</v>
      </c>
      <c r="K179" s="48">
        <v>0.01</v>
      </c>
    </row>
    <row r="180" spans="2:11" x14ac:dyDescent="0.3">
      <c r="B180" s="21"/>
      <c r="C180" s="21"/>
      <c r="D180" s="43"/>
      <c r="E180" s="43"/>
      <c r="F180" s="43"/>
      <c r="G180" s="43"/>
      <c r="H180" s="43"/>
      <c r="I180" s="43"/>
      <c r="J180" s="43"/>
      <c r="K180" s="43"/>
    </row>
    <row r="181" spans="2:11" x14ac:dyDescent="0.3">
      <c r="B181" s="79" t="s">
        <v>79</v>
      </c>
      <c r="C181" s="21"/>
      <c r="D181" s="43"/>
      <c r="E181" s="43"/>
      <c r="F181" s="43"/>
      <c r="G181" s="43"/>
      <c r="H181" s="43"/>
      <c r="I181" s="43"/>
      <c r="J181" s="43"/>
      <c r="K181" s="43"/>
    </row>
    <row r="182" spans="2:11" x14ac:dyDescent="0.3">
      <c r="B182" s="5" t="s">
        <v>79</v>
      </c>
      <c r="C182" s="21"/>
      <c r="D182" s="35">
        <f>'Balance Sheet'!C45</f>
        <v>845.75</v>
      </c>
      <c r="E182" s="35">
        <f>'Balance Sheet'!D45</f>
        <v>732.37</v>
      </c>
      <c r="F182" s="35">
        <f>'Balance Sheet'!E45</f>
        <v>752.24</v>
      </c>
      <c r="G182" s="36">
        <f>G183*G13</f>
        <v>1075.0236480000001</v>
      </c>
      <c r="H182" s="36">
        <f>H183*H13</f>
        <v>1833.9999780000003</v>
      </c>
      <c r="I182" s="36">
        <f>I183*I13</f>
        <v>2557.8977624400004</v>
      </c>
      <c r="J182" s="36">
        <f>J183*J13</f>
        <v>3706.9060728913919</v>
      </c>
      <c r="K182" s="36">
        <f>K183*K13</f>
        <v>6325.3543517208573</v>
      </c>
    </row>
    <row r="183" spans="2:11" x14ac:dyDescent="0.3">
      <c r="B183" s="46" t="s">
        <v>367</v>
      </c>
      <c r="C183" s="46"/>
      <c r="D183" s="169">
        <f>D182/D13</f>
        <v>6.4267889384000923E-2</v>
      </c>
      <c r="E183" s="169">
        <f>E182/E13</f>
        <v>4.4875282779783483E-2</v>
      </c>
      <c r="F183" s="169">
        <f>F182/F13</f>
        <v>3.7163418951545374E-2</v>
      </c>
      <c r="G183" s="48">
        <v>0.04</v>
      </c>
      <c r="H183" s="48">
        <v>0.05</v>
      </c>
      <c r="I183" s="48">
        <v>0.05</v>
      </c>
      <c r="J183" s="48">
        <v>5.0999999999999997E-2</v>
      </c>
      <c r="K183" s="48">
        <v>0.06</v>
      </c>
    </row>
    <row r="184" spans="2:11" x14ac:dyDescent="0.3">
      <c r="B184" s="79"/>
      <c r="C184" s="21"/>
      <c r="D184" s="151"/>
      <c r="E184" s="43"/>
      <c r="F184" s="43"/>
      <c r="G184" s="43"/>
      <c r="H184" s="43"/>
      <c r="I184" s="43"/>
      <c r="J184" s="43"/>
      <c r="K184" s="43"/>
    </row>
    <row r="185" spans="2:11" x14ac:dyDescent="0.3">
      <c r="B185" s="60" t="s">
        <v>67</v>
      </c>
      <c r="D185" s="29"/>
    </row>
    <row r="186" spans="2:11" x14ac:dyDescent="0.3">
      <c r="B186" t="s">
        <v>67</v>
      </c>
      <c r="D186" s="69">
        <f>'Balance Sheet'!C46</f>
        <v>53.06</v>
      </c>
      <c r="E186" s="69">
        <f>'Balance Sheet'!D46</f>
        <v>84.81</v>
      </c>
      <c r="F186" s="69">
        <f>'Balance Sheet'!E46</f>
        <v>123.91</v>
      </c>
      <c r="G186" s="74">
        <f>G187*G13</f>
        <v>403.13386800000001</v>
      </c>
      <c r="H186" s="74">
        <f>H187*H13</f>
        <v>366.79999560000005</v>
      </c>
      <c r="I186" s="74">
        <f>I187*I13</f>
        <v>613.89546298560003</v>
      </c>
      <c r="J186" s="74">
        <f>J187*J13</f>
        <v>654.15989521612801</v>
      </c>
      <c r="K186" s="74">
        <f>K187*K13</f>
        <v>1475.9160154015335</v>
      </c>
    </row>
    <row r="187" spans="2:11" x14ac:dyDescent="0.3">
      <c r="B187" s="46" t="s">
        <v>68</v>
      </c>
      <c r="C187" s="46"/>
      <c r="D187" s="169">
        <f>D186/D13</f>
        <v>4.0319884253208265E-3</v>
      </c>
      <c r="E187" s="169">
        <f>E186/E13</f>
        <v>5.1966529657870159E-3</v>
      </c>
      <c r="F187" s="169">
        <f>F186/F13</f>
        <v>6.1216091171514232E-3</v>
      </c>
      <c r="G187" s="48">
        <v>1.4999999999999999E-2</v>
      </c>
      <c r="H187" s="48">
        <v>0.01</v>
      </c>
      <c r="I187" s="48">
        <v>1.2E-2</v>
      </c>
      <c r="J187" s="48">
        <v>8.9999999999999993E-3</v>
      </c>
      <c r="K187" s="48">
        <v>1.4E-2</v>
      </c>
    </row>
    <row r="188" spans="2:11" x14ac:dyDescent="0.3">
      <c r="B188" s="79"/>
      <c r="C188" s="21"/>
      <c r="D188" s="151"/>
      <c r="E188" s="43"/>
      <c r="F188" s="43"/>
      <c r="G188" s="43"/>
      <c r="H188" s="43"/>
      <c r="I188" s="43"/>
      <c r="J188" s="43"/>
      <c r="K188" s="35"/>
    </row>
    <row r="189" spans="2:11" x14ac:dyDescent="0.3">
      <c r="B189" s="60" t="s">
        <v>368</v>
      </c>
      <c r="D189" s="29"/>
    </row>
    <row r="190" spans="2:11" x14ac:dyDescent="0.3">
      <c r="B190" t="s">
        <v>111</v>
      </c>
      <c r="D190" s="69">
        <f>'Balance Sheet'!C52</f>
        <v>180.65</v>
      </c>
      <c r="E190" s="69">
        <f>'Balance Sheet'!D52</f>
        <v>167.15</v>
      </c>
      <c r="F190" s="69">
        <f>'Balance Sheet'!E52</f>
        <v>275.49</v>
      </c>
      <c r="G190" s="74">
        <f>G191*G13</f>
        <v>268.75591200000002</v>
      </c>
      <c r="H190" s="74">
        <f>H191*H13</f>
        <v>366.79999560000005</v>
      </c>
      <c r="I190" s="74">
        <f>I191*I13</f>
        <v>511.57955248800005</v>
      </c>
      <c r="J190" s="74">
        <f>J191*J13</f>
        <v>726.84432801792002</v>
      </c>
      <c r="K190" s="74">
        <f>K191*K13</f>
        <v>1054.2257252868096</v>
      </c>
    </row>
    <row r="191" spans="2:11" x14ac:dyDescent="0.3">
      <c r="B191" s="46" t="s">
        <v>66</v>
      </c>
      <c r="C191" s="46"/>
      <c r="D191" s="169">
        <f>D190/D13</f>
        <v>1.3727453996121511E-2</v>
      </c>
      <c r="E191" s="169">
        <f>E190/E13</f>
        <v>1.0241959005203393E-2</v>
      </c>
      <c r="F191" s="169">
        <f>F190/F13</f>
        <v>1.3610217865257412E-2</v>
      </c>
      <c r="G191" s="48">
        <v>0.01</v>
      </c>
      <c r="H191" s="48">
        <v>0.01</v>
      </c>
      <c r="I191" s="48">
        <v>0.01</v>
      </c>
      <c r="J191" s="48">
        <v>0.01</v>
      </c>
      <c r="K191" s="48">
        <v>0.01</v>
      </c>
    </row>
    <row r="193" spans="2:11" x14ac:dyDescent="0.3">
      <c r="B193" s="60" t="s">
        <v>304</v>
      </c>
      <c r="D193" s="29"/>
    </row>
    <row r="194" spans="2:11" x14ac:dyDescent="0.3">
      <c r="B194" t="s">
        <v>304</v>
      </c>
      <c r="D194" s="69">
        <f>'Balance Sheet'!C51</f>
        <v>2132.75</v>
      </c>
      <c r="E194" s="69">
        <f>'Balance Sheet'!D51</f>
        <v>2446.65</v>
      </c>
      <c r="F194" s="69">
        <f>'Balance Sheet'!E51</f>
        <v>2420.12</v>
      </c>
      <c r="G194" s="74">
        <f>G195*G13</f>
        <v>3225.0709440000001</v>
      </c>
      <c r="H194" s="74">
        <f>H195*H13</f>
        <v>3667.9999560000006</v>
      </c>
      <c r="I194" s="74">
        <f>I195*I13</f>
        <v>4092.6364199040004</v>
      </c>
      <c r="J194" s="74">
        <f>J195*J13</f>
        <v>4361.0659681075203</v>
      </c>
      <c r="K194" s="74">
        <f>K195*K13</f>
        <v>4216.9029011472385</v>
      </c>
    </row>
    <row r="195" spans="2:11" x14ac:dyDescent="0.3">
      <c r="B195" s="46" t="s">
        <v>376</v>
      </c>
      <c r="C195" s="46"/>
      <c r="D195" s="169">
        <f>D194/D13</f>
        <v>0.16206602552022226</v>
      </c>
      <c r="E195" s="169">
        <f>E194/E13</f>
        <v>0.14991617708693319</v>
      </c>
      <c r="F195" s="169">
        <f>F194/F13</f>
        <v>0.11956281701719396</v>
      </c>
      <c r="G195" s="48">
        <v>0.12</v>
      </c>
      <c r="H195" s="48">
        <v>0.1</v>
      </c>
      <c r="I195" s="48">
        <v>0.08</v>
      </c>
      <c r="J195" s="48">
        <v>0.06</v>
      </c>
      <c r="K195" s="48">
        <v>0.04</v>
      </c>
    </row>
    <row r="196" spans="2:11" x14ac:dyDescent="0.3">
      <c r="B196" s="21"/>
      <c r="C196" s="5"/>
      <c r="D196" s="49"/>
      <c r="E196" s="49"/>
      <c r="F196" s="49"/>
      <c r="G196" s="49"/>
      <c r="H196" s="49"/>
      <c r="I196" s="49"/>
      <c r="J196" s="49"/>
      <c r="K196" s="49"/>
    </row>
    <row r="197" spans="2:11" ht="15.6" x14ac:dyDescent="0.3">
      <c r="B197" s="117" t="s">
        <v>80</v>
      </c>
      <c r="C197" s="109"/>
      <c r="D197" s="109"/>
      <c r="E197" s="109"/>
      <c r="F197" s="109"/>
      <c r="G197" s="109"/>
      <c r="H197" s="109"/>
      <c r="I197" s="109"/>
      <c r="J197" s="109"/>
      <c r="K197" s="109"/>
    </row>
    <row r="198" spans="2:11" s="5" customFormat="1" ht="15.6" x14ac:dyDescent="0.3">
      <c r="B198" s="17"/>
      <c r="C198" s="18"/>
      <c r="D198" s="18"/>
      <c r="E198" s="18"/>
      <c r="F198" s="18"/>
      <c r="G198" s="18"/>
      <c r="H198" s="18"/>
      <c r="I198" s="18"/>
      <c r="J198" s="18"/>
      <c r="K198" s="18"/>
    </row>
    <row r="199" spans="2:11" x14ac:dyDescent="0.3">
      <c r="B199" s="60" t="s">
        <v>94</v>
      </c>
    </row>
    <row r="200" spans="2:11" s="5" customFormat="1" x14ac:dyDescent="0.3">
      <c r="B200" t="s">
        <v>20</v>
      </c>
      <c r="C200"/>
      <c r="D200" s="25">
        <f t="shared" ref="D200:K200" si="90">D13</f>
        <v>13159.76</v>
      </c>
      <c r="E200" s="25">
        <f t="shared" si="90"/>
        <v>16320.12</v>
      </c>
      <c r="F200" s="25">
        <f t="shared" si="90"/>
        <v>20241.41</v>
      </c>
      <c r="G200" s="25">
        <f t="shared" si="90"/>
        <v>26875.591200000003</v>
      </c>
      <c r="H200" s="25">
        <f t="shared" si="90"/>
        <v>36679.999560000004</v>
      </c>
      <c r="I200" s="25">
        <f t="shared" si="90"/>
        <v>51157.955248800004</v>
      </c>
      <c r="J200" s="25">
        <f t="shared" si="90"/>
        <v>72684.432801792005</v>
      </c>
      <c r="K200" s="25">
        <f t="shared" si="90"/>
        <v>105422.57252868096</v>
      </c>
    </row>
    <row r="201" spans="2:11" x14ac:dyDescent="0.3">
      <c r="B201" t="s">
        <v>377</v>
      </c>
      <c r="D201">
        <v>131.91999999999999</v>
      </c>
      <c r="E201">
        <v>133.47</v>
      </c>
      <c r="F201">
        <v>166.94</v>
      </c>
      <c r="G201" s="73">
        <f>G200*G202</f>
        <v>268.75591200000002</v>
      </c>
      <c r="H201" s="73">
        <f t="shared" ref="H201:K201" si="91">H200*H202</f>
        <v>366.79999560000005</v>
      </c>
      <c r="I201" s="73">
        <f t="shared" si="91"/>
        <v>511.57955248800005</v>
      </c>
      <c r="J201" s="73">
        <f t="shared" si="91"/>
        <v>726.84432801792002</v>
      </c>
      <c r="K201" s="73">
        <f t="shared" si="91"/>
        <v>1054.2257252868096</v>
      </c>
    </row>
    <row r="202" spans="2:11" x14ac:dyDescent="0.3">
      <c r="B202" s="46"/>
      <c r="C202" s="46"/>
      <c r="D202" s="47">
        <f>D201/D200</f>
        <v>1.0024498927032104E-2</v>
      </c>
      <c r="E202" s="47">
        <f t="shared" ref="E202:F202" si="92">E201/E200</f>
        <v>8.1782486893478713E-3</v>
      </c>
      <c r="F202" s="47">
        <f t="shared" si="92"/>
        <v>8.2474491648556105E-3</v>
      </c>
      <c r="G202" s="48">
        <v>0.01</v>
      </c>
      <c r="H202" s="48">
        <v>0.01</v>
      </c>
      <c r="I202" s="48">
        <v>0.01</v>
      </c>
      <c r="J202" s="48">
        <v>0.01</v>
      </c>
      <c r="K202" s="48">
        <v>0.01</v>
      </c>
    </row>
    <row r="203" spans="2:11" x14ac:dyDescent="0.3">
      <c r="B203" t="s">
        <v>378</v>
      </c>
      <c r="D203" s="69">
        <v>101.22</v>
      </c>
      <c r="E203" s="69">
        <v>87.22</v>
      </c>
      <c r="F203" s="69">
        <v>96.99</v>
      </c>
      <c r="G203" s="36">
        <f>G204*G200</f>
        <v>134.37795600000001</v>
      </c>
      <c r="H203" s="36">
        <f t="shared" ref="H203:K203" si="93">H204*H200</f>
        <v>183.39999780000002</v>
      </c>
      <c r="I203" s="36">
        <f t="shared" si="93"/>
        <v>255.78977624400002</v>
      </c>
      <c r="J203" s="36">
        <f t="shared" si="93"/>
        <v>363.42216400896001</v>
      </c>
      <c r="K203" s="36">
        <f t="shared" si="93"/>
        <v>527.11286264340481</v>
      </c>
    </row>
    <row r="204" spans="2:11" x14ac:dyDescent="0.3">
      <c r="B204" s="46"/>
      <c r="C204" s="46"/>
      <c r="D204" s="47">
        <f>D203/D200</f>
        <v>7.6916296345830009E-3</v>
      </c>
      <c r="E204" s="47">
        <f t="shared" ref="E204:F204" si="94">E203/E200</f>
        <v>5.3443234486020936E-3</v>
      </c>
      <c r="F204" s="47">
        <f t="shared" si="94"/>
        <v>4.7916622409209632E-3</v>
      </c>
      <c r="G204" s="48">
        <v>5.0000000000000001E-3</v>
      </c>
      <c r="H204" s="48">
        <v>5.0000000000000001E-3</v>
      </c>
      <c r="I204" s="48">
        <v>5.0000000000000001E-3</v>
      </c>
      <c r="J204" s="48">
        <v>5.0000000000000001E-3</v>
      </c>
      <c r="K204" s="48">
        <v>5.0000000000000001E-3</v>
      </c>
    </row>
    <row r="205" spans="2:11" x14ac:dyDescent="0.3">
      <c r="D205" s="27"/>
      <c r="E205" s="27"/>
      <c r="F205" s="27"/>
      <c r="G205" s="44"/>
      <c r="H205" s="44"/>
      <c r="I205" s="44"/>
      <c r="J205" s="44"/>
      <c r="K205" s="44"/>
    </row>
    <row r="206" spans="2:11" x14ac:dyDescent="0.3">
      <c r="B206" s="60" t="s">
        <v>362</v>
      </c>
      <c r="D206" s="27"/>
      <c r="E206" s="27"/>
      <c r="F206" s="27"/>
      <c r="G206" s="44"/>
      <c r="H206" s="44"/>
      <c r="I206" s="44"/>
      <c r="J206" s="44"/>
      <c r="K206" s="44"/>
    </row>
    <row r="207" spans="2:11" x14ac:dyDescent="0.3">
      <c r="B207" t="s">
        <v>20</v>
      </c>
      <c r="D207" s="69">
        <f t="shared" ref="D207:K207" si="95">D13</f>
        <v>13159.76</v>
      </c>
      <c r="E207" s="69">
        <f t="shared" si="95"/>
        <v>16320.12</v>
      </c>
      <c r="F207" s="69">
        <f t="shared" si="95"/>
        <v>20241.41</v>
      </c>
      <c r="G207" s="69">
        <f t="shared" si="95"/>
        <v>26875.591200000003</v>
      </c>
      <c r="H207" s="69">
        <f t="shared" si="95"/>
        <v>36679.999560000004</v>
      </c>
      <c r="I207" s="69">
        <f t="shared" si="95"/>
        <v>51157.955248800004</v>
      </c>
      <c r="J207" s="69">
        <f t="shared" si="95"/>
        <v>72684.432801792005</v>
      </c>
      <c r="K207" s="69">
        <f t="shared" si="95"/>
        <v>105422.57252868096</v>
      </c>
    </row>
    <row r="208" spans="2:11" x14ac:dyDescent="0.3">
      <c r="B208" t="s">
        <v>362</v>
      </c>
      <c r="D208" s="142">
        <f>'Income Statement'!C23</f>
        <v>-2443.79</v>
      </c>
      <c r="E208" s="142">
        <f>'Income Statement'!D23</f>
        <v>0</v>
      </c>
      <c r="F208" s="142">
        <f>'Income Statement'!E23</f>
        <v>-33.020000000000003</v>
      </c>
      <c r="G208" s="168">
        <f>G207*G209</f>
        <v>0</v>
      </c>
      <c r="H208" s="168">
        <f t="shared" ref="H208:K208" si="96">H207*H209</f>
        <v>0</v>
      </c>
      <c r="I208" s="168">
        <f t="shared" si="96"/>
        <v>0</v>
      </c>
      <c r="J208" s="168">
        <f t="shared" si="96"/>
        <v>0</v>
      </c>
      <c r="K208" s="168">
        <f t="shared" si="96"/>
        <v>0</v>
      </c>
    </row>
    <row r="209" spans="2:11" x14ac:dyDescent="0.3">
      <c r="B209" s="46"/>
      <c r="C209" s="46"/>
      <c r="D209" s="173">
        <f>D208/D207</f>
        <v>-0.18570171492489224</v>
      </c>
      <c r="E209" s="173">
        <f t="shared" ref="E209:F209" si="97">E208/E207</f>
        <v>0</v>
      </c>
      <c r="F209" s="173">
        <f t="shared" si="97"/>
        <v>-1.6313092813198293E-3</v>
      </c>
      <c r="G209" s="48">
        <v>0</v>
      </c>
      <c r="H209" s="48">
        <v>0</v>
      </c>
      <c r="I209" s="48">
        <v>0</v>
      </c>
      <c r="J209" s="48">
        <v>0</v>
      </c>
      <c r="K209" s="48">
        <v>0</v>
      </c>
    </row>
    <row r="211" spans="2:11" x14ac:dyDescent="0.3">
      <c r="B211" s="60" t="s">
        <v>17</v>
      </c>
    </row>
    <row r="212" spans="2:11" x14ac:dyDescent="0.3">
      <c r="B212" t="s">
        <v>20</v>
      </c>
      <c r="D212" s="25">
        <f t="shared" ref="D212:K212" si="98">D13</f>
        <v>13159.76</v>
      </c>
      <c r="E212" s="25">
        <f t="shared" si="98"/>
        <v>16320.12</v>
      </c>
      <c r="F212" s="25">
        <f t="shared" si="98"/>
        <v>20241.41</v>
      </c>
      <c r="G212" s="25">
        <f t="shared" si="98"/>
        <v>26875.591200000003</v>
      </c>
      <c r="H212" s="25">
        <f t="shared" si="98"/>
        <v>36679.999560000004</v>
      </c>
      <c r="I212" s="25">
        <f t="shared" si="98"/>
        <v>51157.955248800004</v>
      </c>
      <c r="J212" s="25">
        <f t="shared" si="98"/>
        <v>72684.432801792005</v>
      </c>
      <c r="K212" s="25">
        <f t="shared" si="98"/>
        <v>105422.57252868096</v>
      </c>
    </row>
    <row r="213" spans="2:11" x14ac:dyDescent="0.3">
      <c r="B213" t="s">
        <v>17</v>
      </c>
      <c r="D213">
        <f>'Income Statement'!C10</f>
        <v>418.57</v>
      </c>
      <c r="E213">
        <f>'Income Statement'!D10</f>
        <v>428.09</v>
      </c>
      <c r="F213">
        <f>'Income Statement'!E10</f>
        <v>532.79999999999995</v>
      </c>
      <c r="G213" s="74">
        <f>G212*G214</f>
        <v>806.26773600000001</v>
      </c>
      <c r="H213" s="74">
        <f t="shared" ref="H213:K213" si="99">H212*H214</f>
        <v>1100.3999868000001</v>
      </c>
      <c r="I213" s="74">
        <f t="shared" si="99"/>
        <v>1534.738657464</v>
      </c>
      <c r="J213" s="74">
        <f t="shared" si="99"/>
        <v>2180.5329840537602</v>
      </c>
      <c r="K213" s="74">
        <f t="shared" si="99"/>
        <v>3162.6771758604286</v>
      </c>
    </row>
    <row r="214" spans="2:11" x14ac:dyDescent="0.3">
      <c r="B214" s="46" t="s">
        <v>81</v>
      </c>
      <c r="C214" s="46"/>
      <c r="D214" s="174">
        <f>D213/D212</f>
        <v>3.1806811066463214E-2</v>
      </c>
      <c r="E214" s="174">
        <f t="shared" ref="E214:F214" si="100">E213/E212</f>
        <v>2.6230812028342924E-2</v>
      </c>
      <c r="F214" s="174">
        <f t="shared" si="100"/>
        <v>2.6322276956002567E-2</v>
      </c>
      <c r="G214" s="48">
        <f>'Control Sheet'!I75</f>
        <v>0.03</v>
      </c>
      <c r="H214" s="48">
        <f>'Control Sheet'!J75</f>
        <v>0.03</v>
      </c>
      <c r="I214" s="48">
        <f>'Control Sheet'!K75</f>
        <v>0.03</v>
      </c>
      <c r="J214" s="48">
        <f>'Control Sheet'!L75</f>
        <v>0.03</v>
      </c>
      <c r="K214" s="48">
        <f>'Control Sheet'!M75</f>
        <v>0.03</v>
      </c>
    </row>
    <row r="215" spans="2:11" x14ac:dyDescent="0.3">
      <c r="F215" s="25"/>
    </row>
    <row r="216" spans="2:11" s="5" customFormat="1" x14ac:dyDescent="0.3">
      <c r="B216"/>
      <c r="C216"/>
      <c r="D216"/>
      <c r="E216"/>
      <c r="F216"/>
      <c r="G216"/>
      <c r="H216"/>
      <c r="I216"/>
      <c r="J216"/>
      <c r="K216"/>
    </row>
  </sheetData>
  <mergeCells count="2">
    <mergeCell ref="D8:F8"/>
    <mergeCell ref="G8:K8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6</xdr:col>
                    <xdr:colOff>60960</xdr:colOff>
                    <xdr:row>4</xdr:row>
                    <xdr:rowOff>45720</xdr:rowOff>
                  </from>
                  <to>
                    <xdr:col>7</xdr:col>
                    <xdr:colOff>441960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3BD9-F6ED-4D4D-B025-4A16DCC2682E}">
  <sheetPr codeName="Sheet3">
    <tabColor theme="8" tint="0.59999389629810485"/>
    <pageSetUpPr autoPageBreaks="0"/>
  </sheetPr>
  <dimension ref="B2:P209"/>
  <sheetViews>
    <sheetView showGridLines="0" zoomScale="70" zoomScaleNormal="70" zoomScaleSheetLayoutView="70" workbookViewId="0">
      <pane ySplit="9" topLeftCell="A10" activePane="bottomLeft" state="frozen"/>
      <selection pane="bottomLeft" activeCell="M13" sqref="M13"/>
    </sheetView>
  </sheetViews>
  <sheetFormatPr defaultRowHeight="14.4" x14ac:dyDescent="0.3"/>
  <cols>
    <col min="1" max="1" width="1.88671875" customWidth="1"/>
    <col min="2" max="2" width="102.77734375" bestFit="1" customWidth="1"/>
    <col min="3" max="3" width="3.33203125" customWidth="1"/>
    <col min="4" max="4" width="15.77734375" customWidth="1"/>
    <col min="5" max="5" width="15.88671875" customWidth="1"/>
    <col min="6" max="6" width="15.77734375" customWidth="1"/>
    <col min="7" max="7" width="15.88671875" customWidth="1"/>
    <col min="8" max="9" width="18.88671875" bestFit="1" customWidth="1"/>
    <col min="10" max="11" width="20.44140625" bestFit="1" customWidth="1"/>
    <col min="12" max="12" width="1.6640625" style="5" customWidth="1"/>
    <col min="13" max="13" width="13.77734375" style="2" bestFit="1" customWidth="1"/>
    <col min="14" max="14" width="12.21875" style="2" bestFit="1" customWidth="1"/>
    <col min="15" max="15" width="12.21875" bestFit="1" customWidth="1"/>
  </cols>
  <sheetData>
    <row r="2" spans="2:14" ht="21" x14ac:dyDescent="0.4">
      <c r="B2" s="116" t="str">
        <f>'Control Sheet'!B2</f>
        <v>Shiprocket</v>
      </c>
    </row>
    <row r="3" spans="2:14" x14ac:dyDescent="0.3">
      <c r="B3" s="20" t="s">
        <v>82</v>
      </c>
    </row>
    <row r="4" spans="2:14" ht="18" x14ac:dyDescent="0.35">
      <c r="B4" s="1"/>
    </row>
    <row r="5" spans="2:14" ht="18" x14ac:dyDescent="0.35">
      <c r="B5" s="1"/>
      <c r="G5" t="s">
        <v>1</v>
      </c>
      <c r="H5">
        <v>0</v>
      </c>
    </row>
    <row r="6" spans="2:14" x14ac:dyDescent="0.3">
      <c r="F6" s="25"/>
    </row>
    <row r="7" spans="2:14" x14ac:dyDescent="0.3">
      <c r="M7" s="158" t="s">
        <v>83</v>
      </c>
      <c r="N7" s="158"/>
    </row>
    <row r="8" spans="2:14" x14ac:dyDescent="0.3">
      <c r="D8" s="197" t="s">
        <v>3</v>
      </c>
      <c r="E8" s="197"/>
      <c r="F8" s="197"/>
      <c r="G8" s="196" t="s">
        <v>4</v>
      </c>
      <c r="H8" s="196"/>
      <c r="I8" s="196"/>
      <c r="J8" s="196"/>
      <c r="K8" s="196"/>
      <c r="L8" s="85"/>
      <c r="M8" s="136" t="s">
        <v>84</v>
      </c>
      <c r="N8" s="136" t="s">
        <v>85</v>
      </c>
    </row>
    <row r="9" spans="2:14" x14ac:dyDescent="0.3">
      <c r="B9" s="118" t="s">
        <v>318</v>
      </c>
      <c r="D9" s="22">
        <v>2024</v>
      </c>
      <c r="E9" s="22">
        <f t="shared" ref="E9:F9" si="0">D9+1</f>
        <v>2025</v>
      </c>
      <c r="F9" s="22">
        <f t="shared" si="0"/>
        <v>2026</v>
      </c>
      <c r="G9" s="3">
        <f>F9+1</f>
        <v>2027</v>
      </c>
      <c r="H9" s="3">
        <f t="shared" ref="H9:K9" si="1">G9+1</f>
        <v>2028</v>
      </c>
      <c r="I9" s="3">
        <f t="shared" si="1"/>
        <v>2029</v>
      </c>
      <c r="J9" s="3">
        <f t="shared" si="1"/>
        <v>2030</v>
      </c>
      <c r="K9" s="3">
        <f t="shared" si="1"/>
        <v>2031</v>
      </c>
      <c r="L9"/>
    </row>
    <row r="10" spans="2:14" x14ac:dyDescent="0.3">
      <c r="B10" s="4"/>
      <c r="C10" s="4"/>
      <c r="D10" s="4"/>
      <c r="E10" s="4"/>
      <c r="F10" s="4"/>
      <c r="G10" s="4"/>
      <c r="H10" s="4"/>
      <c r="I10" s="4"/>
      <c r="J10" s="4"/>
      <c r="L10"/>
    </row>
    <row r="11" spans="2:14" ht="15.6" x14ac:dyDescent="0.3">
      <c r="B11" s="117" t="s">
        <v>86</v>
      </c>
      <c r="C11" s="109"/>
      <c r="D11" s="109"/>
      <c r="E11" s="109"/>
      <c r="F11" s="109"/>
      <c r="G11" s="109"/>
      <c r="H11" s="109"/>
      <c r="I11" s="109"/>
      <c r="J11" s="145"/>
      <c r="K11" s="145"/>
      <c r="L11"/>
    </row>
    <row r="12" spans="2:14" x14ac:dyDescent="0.3">
      <c r="G12" s="69"/>
      <c r="H12" s="69"/>
      <c r="I12" s="69"/>
      <c r="J12" s="69"/>
      <c r="K12" s="69"/>
      <c r="L12"/>
      <c r="N12" s="162"/>
    </row>
    <row r="13" spans="2:14" x14ac:dyDescent="0.3">
      <c r="B13" t="s">
        <v>20</v>
      </c>
      <c r="D13" s="25">
        <f>'Income Statement'!C9</f>
        <v>13159.76</v>
      </c>
      <c r="E13" s="25">
        <f>'Income Statement'!D9</f>
        <v>16320.12</v>
      </c>
      <c r="F13" s="25">
        <f>'Income Statement'!E9</f>
        <v>20241.41</v>
      </c>
      <c r="G13" s="87">
        <f>'Schedule Sheet'!G13</f>
        <v>26875.591200000003</v>
      </c>
      <c r="H13" s="87">
        <f>'Schedule Sheet'!H13</f>
        <v>36679.999560000004</v>
      </c>
      <c r="I13" s="87">
        <f>'Schedule Sheet'!I13</f>
        <v>51157.955248800004</v>
      </c>
      <c r="J13" s="87">
        <f>'Schedule Sheet'!J13</f>
        <v>72684.432801792005</v>
      </c>
      <c r="K13" s="87">
        <f>'Schedule Sheet'!K13</f>
        <v>105422.57252868096</v>
      </c>
      <c r="L13"/>
      <c r="M13" s="162">
        <f>IF(OR(F13&lt;=0,K13&lt;=0),"NM",_xlfn.RRI($K$9-$F$9,F13,K13))</f>
        <v>0.39103664027408569</v>
      </c>
      <c r="N13" s="162">
        <f>IF(OR(H13&lt;=0,K13&lt;=0),"NM",_xlfn.RRI($K$9-$H$9,H13,K13))</f>
        <v>0.4217877322219854</v>
      </c>
    </row>
    <row r="14" spans="2:14" x14ac:dyDescent="0.3">
      <c r="B14" s="62" t="s">
        <v>87</v>
      </c>
      <c r="C14" s="4"/>
      <c r="D14" s="70">
        <f>D13</f>
        <v>13159.76</v>
      </c>
      <c r="E14" s="70">
        <f t="shared" ref="E14:F14" si="2">E13</f>
        <v>16320.12</v>
      </c>
      <c r="F14" s="70">
        <f t="shared" si="2"/>
        <v>20241.41</v>
      </c>
      <c r="G14" s="70">
        <f t="shared" ref="G14" si="3">G13</f>
        <v>26875.591200000003</v>
      </c>
      <c r="H14" s="70">
        <f t="shared" ref="H14" si="4">H13</f>
        <v>36679.999560000004</v>
      </c>
      <c r="I14" s="70">
        <f t="shared" ref="I14" si="5">I13</f>
        <v>51157.955248800004</v>
      </c>
      <c r="J14" s="70">
        <f t="shared" ref="J14" si="6">J13</f>
        <v>72684.432801792005</v>
      </c>
      <c r="K14" s="70">
        <f t="shared" ref="K14" si="7">K13</f>
        <v>105422.57252868096</v>
      </c>
      <c r="L14"/>
      <c r="M14" s="163">
        <f>IF(OR(F14&lt;=0,K14&lt;=0),"NM",_xlfn.RRI($K$9-$F$9,F14,K14))</f>
        <v>0.39103664027408569</v>
      </c>
      <c r="N14" s="163">
        <f>IF(OR(H14&lt;=0,K14&lt;=0),"NM",_xlfn.RRI($K$9-$H$9,H14,K14))</f>
        <v>0.4217877322219854</v>
      </c>
    </row>
    <row r="15" spans="2:14" x14ac:dyDescent="0.3">
      <c r="D15" s="76"/>
      <c r="E15" s="76"/>
      <c r="F15" s="76"/>
      <c r="G15" s="76"/>
      <c r="H15" s="76"/>
      <c r="I15" s="76"/>
      <c r="J15" s="76"/>
      <c r="K15" s="76"/>
      <c r="L15"/>
    </row>
    <row r="16" spans="2:14" x14ac:dyDescent="0.3">
      <c r="B16" s="60" t="s">
        <v>88</v>
      </c>
      <c r="D16" s="89"/>
      <c r="E16" s="89"/>
      <c r="F16" s="89"/>
      <c r="L16"/>
    </row>
    <row r="17" spans="2:16" x14ac:dyDescent="0.3">
      <c r="B17" t="s">
        <v>198</v>
      </c>
      <c r="D17" s="66">
        <f>'Income Statement'!C14</f>
        <v>10070.370000000001</v>
      </c>
      <c r="E17" s="66">
        <f>'Income Statement'!D14</f>
        <v>12129.31</v>
      </c>
      <c r="F17" s="66">
        <f>'Income Statement'!E14</f>
        <v>14941.29</v>
      </c>
      <c r="G17" s="73">
        <f>'Schedule Sheet'!G22</f>
        <v>18141.024060000003</v>
      </c>
      <c r="H17" s="73">
        <f>'Schedule Sheet'!H22</f>
        <v>24392.199707400003</v>
      </c>
      <c r="I17" s="73">
        <f>'Schedule Sheet'!I22</f>
        <v>33508.460687964005</v>
      </c>
      <c r="J17" s="73">
        <f>'Schedule Sheet'!J22</f>
        <v>47244.881321164808</v>
      </c>
      <c r="K17" s="73">
        <f>'Schedule Sheet'!K22</f>
        <v>68524.672143642631</v>
      </c>
      <c r="L17"/>
      <c r="M17" s="162">
        <f t="shared" ref="M17:M21" si="8">IF(OR(F17&lt;=0,K17&lt;=0),"NM",_xlfn.RRI($K$9-$F$9,F17,K17))</f>
        <v>0.3561001819294809</v>
      </c>
      <c r="N17" s="162">
        <f t="shared" ref="N17:N21" si="9">IF(OR(H17&lt;=0,K17&lt;=0),"NM",_xlfn.RRI($K$9-$H$9,H17,K17))</f>
        <v>0.4110161993235304</v>
      </c>
    </row>
    <row r="18" spans="2:16" x14ac:dyDescent="0.3">
      <c r="B18" t="s">
        <v>199</v>
      </c>
      <c r="D18" s="66">
        <f>'Income Statement'!C15</f>
        <v>55.67</v>
      </c>
      <c r="E18" s="66">
        <f>'Income Statement'!D15</f>
        <v>79.67</v>
      </c>
      <c r="F18" s="66">
        <f>'Income Statement'!E15</f>
        <v>217.69</v>
      </c>
      <c r="G18" s="73">
        <f>'Schedule Sheet'!G25</f>
        <v>268.75591200000002</v>
      </c>
      <c r="H18" s="73">
        <f>'Schedule Sheet'!H25</f>
        <v>366.79999560000005</v>
      </c>
      <c r="I18" s="73">
        <f>'Schedule Sheet'!I25</f>
        <v>511.57955248800005</v>
      </c>
      <c r="J18" s="73">
        <f>'Schedule Sheet'!J25</f>
        <v>726.84432801792002</v>
      </c>
      <c r="K18" s="73">
        <f>'Schedule Sheet'!K25</f>
        <v>1054.2257252868096</v>
      </c>
      <c r="L18"/>
      <c r="M18" s="162">
        <f t="shared" si="8"/>
        <v>0.37094182462396708</v>
      </c>
      <c r="N18" s="162">
        <f t="shared" si="9"/>
        <v>0.4217877322219854</v>
      </c>
    </row>
    <row r="19" spans="2:16" x14ac:dyDescent="0.3">
      <c r="B19" t="s">
        <v>200</v>
      </c>
      <c r="D19" s="66">
        <f>'Income Statement'!C16</f>
        <v>-2.59</v>
      </c>
      <c r="E19" s="66">
        <f>'Income Statement'!D16</f>
        <v>-2.2799999999999998</v>
      </c>
      <c r="F19" s="66">
        <f>'Income Statement'!E16</f>
        <v>-9.0299999999999994</v>
      </c>
      <c r="G19" s="73">
        <f>'Schedule Sheet'!G28</f>
        <v>0</v>
      </c>
      <c r="H19" s="73">
        <f>'Schedule Sheet'!H28</f>
        <v>0</v>
      </c>
      <c r="I19" s="73">
        <f>'Schedule Sheet'!I28</f>
        <v>0</v>
      </c>
      <c r="J19" s="73">
        <f>'Schedule Sheet'!J28</f>
        <v>0</v>
      </c>
      <c r="K19" s="73">
        <f>'Schedule Sheet'!K28</f>
        <v>0</v>
      </c>
      <c r="L19"/>
      <c r="M19" s="162" t="str">
        <f t="shared" si="8"/>
        <v>NM</v>
      </c>
      <c r="N19" s="162" t="str">
        <f t="shared" si="9"/>
        <v>NM</v>
      </c>
    </row>
    <row r="20" spans="2:16" x14ac:dyDescent="0.3">
      <c r="B20" t="s">
        <v>22</v>
      </c>
      <c r="D20" s="66">
        <f>'Income Statement'!C17</f>
        <v>4307.91</v>
      </c>
      <c r="E20" s="66">
        <f>'Income Statement'!D17</f>
        <v>3149.16</v>
      </c>
      <c r="F20" s="66">
        <f>'Income Statement'!E17</f>
        <v>3794.77</v>
      </c>
      <c r="G20" s="73">
        <f>'Schedule Sheet'!G31</f>
        <v>5375.1182400000007</v>
      </c>
      <c r="H20" s="73">
        <f>'Schedule Sheet'!H31</f>
        <v>7335.9999120000011</v>
      </c>
      <c r="I20" s="73">
        <f>'Schedule Sheet'!I31</f>
        <v>10231.591049760002</v>
      </c>
      <c r="J20" s="73">
        <f>'Schedule Sheet'!J31</f>
        <v>14536.886560358402</v>
      </c>
      <c r="K20" s="73">
        <f>'Schedule Sheet'!K31</f>
        <v>21084.514505736195</v>
      </c>
      <c r="L20"/>
      <c r="M20" s="162">
        <f t="shared" si="8"/>
        <v>0.4091448227220067</v>
      </c>
      <c r="N20" s="162">
        <f t="shared" si="9"/>
        <v>0.4217877322219854</v>
      </c>
    </row>
    <row r="21" spans="2:16" x14ac:dyDescent="0.3">
      <c r="B21" t="s">
        <v>24</v>
      </c>
      <c r="D21" s="66">
        <f>'Income Statement'!C20</f>
        <v>1660.07</v>
      </c>
      <c r="E21" s="66">
        <f>'Income Statement'!D20</f>
        <v>1563.95</v>
      </c>
      <c r="F21" s="66">
        <f>'Income Statement'!E20</f>
        <v>1962.02</v>
      </c>
      <c r="G21" s="73">
        <f>'Schedule Sheet'!G34</f>
        <v>2687.5591200000003</v>
      </c>
      <c r="H21" s="73">
        <f>'Schedule Sheet'!H34</f>
        <v>3667.9999560000006</v>
      </c>
      <c r="I21" s="73">
        <f>'Schedule Sheet'!I34</f>
        <v>5115.7955248800008</v>
      </c>
      <c r="J21" s="73">
        <f>'Schedule Sheet'!J34</f>
        <v>7268.4432801792009</v>
      </c>
      <c r="K21" s="73">
        <f>'Schedule Sheet'!K34</f>
        <v>10542.257252868098</v>
      </c>
      <c r="L21"/>
      <c r="M21" s="162">
        <f t="shared" si="8"/>
        <v>0.39973568897101686</v>
      </c>
      <c r="N21" s="162">
        <f t="shared" si="9"/>
        <v>0.4217877322219854</v>
      </c>
    </row>
    <row r="22" spans="2:16" x14ac:dyDescent="0.3">
      <c r="D22" s="25"/>
      <c r="E22" s="25"/>
      <c r="F22" s="25"/>
      <c r="G22" s="73"/>
      <c r="H22" s="73"/>
      <c r="I22" s="73"/>
      <c r="J22" s="73"/>
      <c r="K22" s="73"/>
      <c r="L22"/>
      <c r="M22" s="162"/>
      <c r="N22" s="162"/>
    </row>
    <row r="23" spans="2:16" x14ac:dyDescent="0.3">
      <c r="B23" t="s">
        <v>89</v>
      </c>
      <c r="D23" s="25">
        <f>SUM(D17:D21)</f>
        <v>16091.43</v>
      </c>
      <c r="E23" s="25">
        <f>SUM(E17:E21)</f>
        <v>16919.809999999998</v>
      </c>
      <c r="F23" s="25">
        <f t="shared" ref="F23:K23" si="10">SUM(F17:F21)</f>
        <v>20906.740000000002</v>
      </c>
      <c r="G23" s="25">
        <f t="shared" si="10"/>
        <v>26472.457332000005</v>
      </c>
      <c r="H23" s="25">
        <f t="shared" si="10"/>
        <v>35762.999571</v>
      </c>
      <c r="I23" s="25">
        <f t="shared" si="10"/>
        <v>49367.426815092011</v>
      </c>
      <c r="J23" s="25">
        <f t="shared" si="10"/>
        <v>69777.055489720326</v>
      </c>
      <c r="K23" s="25">
        <f t="shared" si="10"/>
        <v>101205.66962753373</v>
      </c>
      <c r="L23"/>
      <c r="M23" s="162">
        <f>IF(OR(F23&lt;=0,K23&lt;=0),"NM",_xlfn.RRI($K$9-$F$9,F23,K23))</f>
        <v>0.37083033042578184</v>
      </c>
      <c r="N23" s="162">
        <f>IF(OR(H23&lt;=0,K23&lt;=0),"NM",_xlfn.RRI($K$9-$H$9,H23,K23))</f>
        <v>0.41445879931976792</v>
      </c>
    </row>
    <row r="24" spans="2:16" x14ac:dyDescent="0.3">
      <c r="B24" s="62" t="s">
        <v>90</v>
      </c>
      <c r="C24" s="4"/>
      <c r="D24" s="70">
        <f t="shared" ref="D24:K24" si="11">D14-D23</f>
        <v>-2931.67</v>
      </c>
      <c r="E24" s="70">
        <f t="shared" si="11"/>
        <v>-599.68999999999687</v>
      </c>
      <c r="F24" s="70">
        <f t="shared" si="11"/>
        <v>-665.33000000000175</v>
      </c>
      <c r="G24" s="70">
        <f t="shared" si="11"/>
        <v>403.13386799999716</v>
      </c>
      <c r="H24" s="70">
        <f t="shared" si="11"/>
        <v>916.99998900000355</v>
      </c>
      <c r="I24" s="70">
        <f t="shared" si="11"/>
        <v>1790.5284337079938</v>
      </c>
      <c r="J24" s="70">
        <f t="shared" si="11"/>
        <v>2907.3773120716796</v>
      </c>
      <c r="K24" s="70">
        <f t="shared" si="11"/>
        <v>4216.9029011472303</v>
      </c>
      <c r="L24"/>
      <c r="M24" s="163"/>
      <c r="N24" s="163"/>
    </row>
    <row r="25" spans="2:16" x14ac:dyDescent="0.3">
      <c r="B25" s="20"/>
    </row>
    <row r="26" spans="2:16" x14ac:dyDescent="0.3">
      <c r="B26" s="160" t="s">
        <v>91</v>
      </c>
      <c r="D26" s="161">
        <f t="shared" ref="D26:K26" si="12">D24/D13</f>
        <v>-0.22277533936789121</v>
      </c>
      <c r="E26" s="161">
        <f t="shared" si="12"/>
        <v>-3.6745440597250316E-2</v>
      </c>
      <c r="F26" s="161">
        <f t="shared" si="12"/>
        <v>-3.2869745734116433E-2</v>
      </c>
      <c r="G26" s="161">
        <f t="shared" si="12"/>
        <v>1.4999999999999894E-2</v>
      </c>
      <c r="H26" s="161">
        <f t="shared" si="12"/>
        <v>2.5000000000000095E-2</v>
      </c>
      <c r="I26" s="161">
        <f t="shared" si="12"/>
        <v>3.4999999999999878E-2</v>
      </c>
      <c r="J26" s="161">
        <f t="shared" si="12"/>
        <v>3.9999999999999994E-2</v>
      </c>
      <c r="K26" s="161">
        <f t="shared" si="12"/>
        <v>3.9999999999999925E-2</v>
      </c>
    </row>
    <row r="27" spans="2:16" x14ac:dyDescent="0.3">
      <c r="B27" s="20"/>
      <c r="E27" s="159"/>
      <c r="F27" s="159"/>
      <c r="G27" s="159"/>
      <c r="H27" s="159"/>
      <c r="I27" s="159"/>
      <c r="J27" s="159"/>
      <c r="K27" s="159"/>
    </row>
    <row r="28" spans="2:16" x14ac:dyDescent="0.3">
      <c r="B28" s="60" t="s">
        <v>44</v>
      </c>
      <c r="D28" s="91"/>
      <c r="E28" s="91"/>
      <c r="F28" s="91"/>
      <c r="H28" s="25"/>
      <c r="I28" s="25"/>
      <c r="J28" s="25"/>
      <c r="K28" s="25"/>
      <c r="L28"/>
    </row>
    <row r="29" spans="2:16" x14ac:dyDescent="0.3">
      <c r="B29" t="s">
        <v>92</v>
      </c>
      <c r="C29" s="25"/>
      <c r="D29" s="69">
        <f>'Income Statement'!C19</f>
        <v>759.78</v>
      </c>
      <c r="E29" s="69">
        <f>'Income Statement'!D19</f>
        <v>352.2</v>
      </c>
      <c r="F29" s="69">
        <f>'Income Statement'!E19</f>
        <v>362.97</v>
      </c>
      <c r="G29" s="74">
        <f>'Schedule Sheet'!G77+'Schedule Sheet'!G87+'Schedule Sheet'!G97</f>
        <v>490.62905820000003</v>
      </c>
      <c r="H29" s="74">
        <f>'Schedule Sheet'!H77+'Schedule Sheet'!H87+'Schedule Sheet'!H97</f>
        <v>664.8590561100001</v>
      </c>
      <c r="I29" s="74">
        <f>'Schedule Sheet'!I77+'Schedule Sheet'!I87+'Schedule Sheet'!I97</f>
        <v>907.85934354180006</v>
      </c>
      <c r="J29" s="74">
        <f>'Schedule Sheet'!J77+'Schedule Sheet'!J87+'Schedule Sheet'!J97</f>
        <v>1253.110399350312</v>
      </c>
      <c r="K29" s="74">
        <f>'Schedule Sheet'!K77+'Schedule Sheet'!K87+'Schedule Sheet'!K97</f>
        <v>1753.8676188615468</v>
      </c>
      <c r="L29"/>
      <c r="M29" s="162">
        <f>_xlfn.RRI($K$9-$F$9,F29,K29)</f>
        <v>0.37033015793785484</v>
      </c>
      <c r="N29" s="162">
        <f>_xlfn.RRI($K$9-$H$9,H29,K29)</f>
        <v>0.38172751843979302</v>
      </c>
    </row>
    <row r="30" spans="2:16" x14ac:dyDescent="0.3">
      <c r="B30" s="62" t="s">
        <v>93</v>
      </c>
      <c r="C30" s="4"/>
      <c r="D30" s="70">
        <f>D24-D29</f>
        <v>-3691.45</v>
      </c>
      <c r="E30" s="70">
        <f t="shared" ref="E30:F30" si="13">E24-E29</f>
        <v>-951.88999999999692</v>
      </c>
      <c r="F30" s="70">
        <f t="shared" si="13"/>
        <v>-1028.3000000000018</v>
      </c>
      <c r="G30" s="70">
        <f t="shared" ref="G30" si="14">G24-G29</f>
        <v>-87.495190200002867</v>
      </c>
      <c r="H30" s="70">
        <f t="shared" ref="H30" si="15">H24-H29</f>
        <v>252.14093289000346</v>
      </c>
      <c r="I30" s="70">
        <f t="shared" ref="I30" si="16">I24-I29</f>
        <v>882.66909016619377</v>
      </c>
      <c r="J30" s="70">
        <f t="shared" ref="J30" si="17">J24-J29</f>
        <v>1654.2669127213676</v>
      </c>
      <c r="K30" s="70">
        <f t="shared" ref="K30" si="18">K24-K29</f>
        <v>2463.0352822856835</v>
      </c>
      <c r="L30"/>
      <c r="M30" s="163" t="str">
        <f>IF(OR(F30&lt;=0,K30&lt;=0),"NM",_xlfn.RRI($K$9-$F$9,F30,K30))</f>
        <v>NM</v>
      </c>
      <c r="N30" s="164">
        <f>IF(OR(H30&lt;=0,K30&lt;=0),"NM",_xlfn.RRI($K$9-$H$9,H30,K30))</f>
        <v>1.1376786802160641</v>
      </c>
    </row>
    <row r="31" spans="2:16" ht="12.6" customHeight="1" x14ac:dyDescent="0.3">
      <c r="L31"/>
    </row>
    <row r="32" spans="2:16" s="88" customFormat="1" x14ac:dyDescent="0.3">
      <c r="B32" s="60" t="s">
        <v>45</v>
      </c>
      <c r="C32"/>
      <c r="D32" s="90"/>
      <c r="E32" s="90"/>
      <c r="F32" s="90"/>
      <c r="G32" s="89"/>
      <c r="H32"/>
      <c r="I32"/>
      <c r="J32"/>
      <c r="K32"/>
      <c r="L32"/>
      <c r="M32" s="2"/>
      <c r="N32" s="2"/>
      <c r="O32"/>
      <c r="P32"/>
    </row>
    <row r="33" spans="2:16" x14ac:dyDescent="0.3">
      <c r="B33" t="s">
        <v>94</v>
      </c>
      <c r="D33" s="25">
        <f>'Income Statement'!C18</f>
        <v>233.14</v>
      </c>
      <c r="E33" s="25">
        <f>'Income Statement'!D18</f>
        <v>220.69</v>
      </c>
      <c r="F33" s="25">
        <f>'Income Statement'!E18</f>
        <v>263.93</v>
      </c>
      <c r="G33" s="73">
        <f>'Schedule Sheet'!G201+'Schedule Sheet'!G203</f>
        <v>403.13386800000001</v>
      </c>
      <c r="H33" s="73">
        <f>'Schedule Sheet'!H201+'Schedule Sheet'!H203</f>
        <v>550.19999340000004</v>
      </c>
      <c r="I33" s="73">
        <f>'Schedule Sheet'!I201+'Schedule Sheet'!I203</f>
        <v>767.3693287320001</v>
      </c>
      <c r="J33" s="73">
        <f>'Schedule Sheet'!J201+'Schedule Sheet'!J203</f>
        <v>1090.2664920268801</v>
      </c>
      <c r="K33" s="73">
        <f>'Schedule Sheet'!K201+'Schedule Sheet'!K203</f>
        <v>1581.3385879302145</v>
      </c>
      <c r="L33"/>
      <c r="M33" s="162">
        <f>IF(OR(F33&lt;=0,K33&lt;=0),"NM",_xlfn.RRI($K$9-$F$9,F33,K33))</f>
        <v>0.43056377050260353</v>
      </c>
      <c r="N33" s="162">
        <f>IF(OR(H33&lt;=0,K33&lt;=0),"NM",_xlfn.RRI($K$9-$H$9,H33,K33))</f>
        <v>0.4217877322219854</v>
      </c>
    </row>
    <row r="34" spans="2:16" x14ac:dyDescent="0.3">
      <c r="B34" t="s">
        <v>124</v>
      </c>
      <c r="D34" s="25">
        <f>'Income Statement'!C23</f>
        <v>-2443.79</v>
      </c>
      <c r="E34" s="25">
        <f>'Income Statement'!D23</f>
        <v>0</v>
      </c>
      <c r="F34" s="25">
        <f>'Income Statement'!E23</f>
        <v>-33.020000000000003</v>
      </c>
      <c r="G34" s="73">
        <f>'Schedule Sheet'!G208</f>
        <v>0</v>
      </c>
      <c r="H34" s="73">
        <f>'Schedule Sheet'!H208</f>
        <v>0</v>
      </c>
      <c r="I34" s="73">
        <f>'Schedule Sheet'!I208</f>
        <v>0</v>
      </c>
      <c r="J34" s="73">
        <f>'Schedule Sheet'!J208</f>
        <v>0</v>
      </c>
      <c r="K34" s="73">
        <f>'Schedule Sheet'!K208</f>
        <v>0</v>
      </c>
      <c r="L34"/>
      <c r="M34" s="162"/>
      <c r="N34" s="162"/>
    </row>
    <row r="35" spans="2:16" x14ac:dyDescent="0.3">
      <c r="B35" t="s">
        <v>95</v>
      </c>
      <c r="D35" s="25">
        <f>'Income Statement'!C10</f>
        <v>418.57</v>
      </c>
      <c r="E35" s="25">
        <f>'Income Statement'!D10</f>
        <v>428.09</v>
      </c>
      <c r="F35" s="25">
        <f>'Income Statement'!E10</f>
        <v>532.79999999999995</v>
      </c>
      <c r="G35" s="73">
        <f>'Schedule Sheet'!G213</f>
        <v>806.26773600000001</v>
      </c>
      <c r="H35" s="73">
        <f>'Schedule Sheet'!H213</f>
        <v>1100.3999868000001</v>
      </c>
      <c r="I35" s="73">
        <f>'Schedule Sheet'!I213</f>
        <v>1534.738657464</v>
      </c>
      <c r="J35" s="73">
        <f>'Schedule Sheet'!J213</f>
        <v>2180.5329840537602</v>
      </c>
      <c r="K35" s="73">
        <f>'Schedule Sheet'!K213</f>
        <v>3162.6771758604286</v>
      </c>
      <c r="L35"/>
      <c r="M35" s="162">
        <f>IF(OR(F35&lt;=0,K35&lt;=0),"NM",_xlfn.RRI($K$9-$F$9,F35,K35))</f>
        <v>0.42790110489723499</v>
      </c>
      <c r="N35" s="162">
        <f>IF(OR(H35&lt;=0,K35&lt;=0),"NM",_xlfn.RRI($K$9-$H$9,H35,K35))</f>
        <v>0.4217877322219854</v>
      </c>
    </row>
    <row r="36" spans="2:16" x14ac:dyDescent="0.3">
      <c r="B36" s="62" t="s">
        <v>96</v>
      </c>
      <c r="C36" s="62"/>
      <c r="D36" s="70">
        <f t="shared" ref="D36:K36" si="19">D30-D33+D34+D35</f>
        <v>-5949.8099999999995</v>
      </c>
      <c r="E36" s="70">
        <f t="shared" si="19"/>
        <v>-744.48999999999705</v>
      </c>
      <c r="F36" s="70">
        <f t="shared" si="19"/>
        <v>-792.45000000000186</v>
      </c>
      <c r="G36" s="70">
        <f t="shared" si="19"/>
        <v>315.63867779999714</v>
      </c>
      <c r="H36" s="70">
        <f t="shared" si="19"/>
        <v>802.34092629000349</v>
      </c>
      <c r="I36" s="70">
        <f t="shared" si="19"/>
        <v>1650.0384188981936</v>
      </c>
      <c r="J36" s="70">
        <f t="shared" si="19"/>
        <v>2744.5334047482474</v>
      </c>
      <c r="K36" s="70">
        <f t="shared" si="19"/>
        <v>4044.3738702158976</v>
      </c>
      <c r="L36" s="20"/>
      <c r="M36" s="163" t="str">
        <f>IF(OR(F36&lt;=0,K36&lt;=0),"NM",_xlfn.RRI($K$9-$F$9,F36,K36))</f>
        <v>NM</v>
      </c>
      <c r="N36" s="163">
        <f>IF(OR(H36&lt;=0,K36&lt;=0),"NM",_xlfn.RRI($K$9-$H$9,H36,K36))</f>
        <v>0.71460512209683924</v>
      </c>
      <c r="O36" s="20"/>
      <c r="P36" s="20"/>
    </row>
    <row r="37" spans="2:16" x14ac:dyDescent="0.3">
      <c r="L37"/>
    </row>
    <row r="38" spans="2:16" s="20" customFormat="1" x14ac:dyDescent="0.3">
      <c r="B38" s="65" t="s">
        <v>97</v>
      </c>
      <c r="C38"/>
      <c r="D38" s="25">
        <f>'Income Statement'!C31</f>
        <v>0</v>
      </c>
      <c r="E38" s="25">
        <f>'Income Statement'!D31</f>
        <v>0</v>
      </c>
      <c r="F38" s="25">
        <f>'Income Statement'!E31</f>
        <v>0</v>
      </c>
      <c r="G38" s="73">
        <f>'Schedule Sheet'!G106</f>
        <v>0</v>
      </c>
      <c r="H38" s="73">
        <f>'Schedule Sheet'!H106</f>
        <v>246.43523102250086</v>
      </c>
      <c r="I38" s="73">
        <f>'Schedule Sheet'!I106</f>
        <v>476.45704878554841</v>
      </c>
      <c r="J38" s="73">
        <f>'Schedule Sheet'!J106</f>
        <v>776.98889218930196</v>
      </c>
      <c r="K38" s="73">
        <f>'Schedule Sheet'!K106</f>
        <v>1142.8716832148257</v>
      </c>
      <c r="L38"/>
      <c r="M38" s="162" t="str">
        <f>IF(OR(F38&lt;=0,K38&lt;=0),"NM",_xlfn.RRI($K$9-$F$9,F38,K38))</f>
        <v>NM</v>
      </c>
      <c r="N38" s="162">
        <f>_xlfn.RRI($K$9-$H$9,H38,K38)</f>
        <v>0.66762434090140577</v>
      </c>
      <c r="O38"/>
      <c r="P38"/>
    </row>
    <row r="39" spans="2:16" ht="15" thickBot="1" x14ac:dyDescent="0.35">
      <c r="B39" s="30" t="s">
        <v>48</v>
      </c>
      <c r="C39" s="31"/>
      <c r="D39" s="32">
        <f>D36+D38</f>
        <v>-5949.8099999999995</v>
      </c>
      <c r="E39" s="32">
        <f t="shared" ref="E39:F39" si="20">E36+E38</f>
        <v>-744.48999999999705</v>
      </c>
      <c r="F39" s="32">
        <f t="shared" si="20"/>
        <v>-792.45000000000186</v>
      </c>
      <c r="G39" s="32">
        <f>G36-G38</f>
        <v>315.63867779999714</v>
      </c>
      <c r="H39" s="32">
        <f t="shared" ref="H39:K39" si="21">H36-H38</f>
        <v>555.90569526750267</v>
      </c>
      <c r="I39" s="32">
        <f t="shared" si="21"/>
        <v>1173.5813701126453</v>
      </c>
      <c r="J39" s="32">
        <f t="shared" si="21"/>
        <v>1967.5445125589454</v>
      </c>
      <c r="K39" s="32">
        <f t="shared" si="21"/>
        <v>2901.5021870010719</v>
      </c>
      <c r="L39"/>
      <c r="M39" s="163" t="str">
        <f>IF(OR(F39&lt;=0,K39&lt;=0),"NM",_xlfn.RRI($K$9-$F$9,F39,K39))</f>
        <v>NM</v>
      </c>
      <c r="N39" s="163">
        <f>IF(OR(H39&lt;=0,K39&lt;=0),"NM",_xlfn.RRI($K$9-$H$9,H39,K39))</f>
        <v>0.73463162351355171</v>
      </c>
    </row>
    <row r="40" spans="2:16" s="92" customFormat="1" x14ac:dyDescent="0.3">
      <c r="B40"/>
      <c r="C40"/>
      <c r="D40"/>
      <c r="E40"/>
      <c r="F40"/>
      <c r="G40"/>
      <c r="H40"/>
      <c r="I40"/>
      <c r="J40"/>
      <c r="K40"/>
      <c r="L40"/>
      <c r="M40" s="2"/>
      <c r="N40" s="2"/>
      <c r="O40"/>
      <c r="P40"/>
    </row>
    <row r="41" spans="2:16" s="92" customFormat="1" ht="15.6" x14ac:dyDescent="0.3">
      <c r="B41" s="117" t="s">
        <v>98</v>
      </c>
      <c r="C41" s="109"/>
      <c r="D41" s="109"/>
      <c r="E41" s="109"/>
      <c r="F41" s="109"/>
      <c r="G41" s="109"/>
      <c r="H41" s="109"/>
      <c r="I41" s="109"/>
      <c r="J41" s="145"/>
      <c r="K41" s="145"/>
      <c r="L41"/>
      <c r="M41" s="2"/>
      <c r="N41" s="2"/>
      <c r="O41"/>
      <c r="P41"/>
    </row>
    <row r="42" spans="2:16" x14ac:dyDescent="0.3">
      <c r="L42"/>
    </row>
    <row r="43" spans="2:16" x14ac:dyDescent="0.3">
      <c r="B43" s="60" t="s">
        <v>99</v>
      </c>
      <c r="G43" s="93"/>
      <c r="L43"/>
    </row>
    <row r="44" spans="2:16" x14ac:dyDescent="0.3">
      <c r="B44" s="5" t="s">
        <v>100</v>
      </c>
      <c r="C44" s="5"/>
      <c r="D44" s="84">
        <f>'Balance Sheet'!C26</f>
        <v>842.96</v>
      </c>
      <c r="E44" s="84">
        <f>'Balance Sheet'!D26</f>
        <v>1264.4000000000001</v>
      </c>
      <c r="F44" s="84">
        <f>'Balance Sheet'!E26</f>
        <v>1847.43</v>
      </c>
      <c r="G44" s="36">
        <f>G207</f>
        <v>2691.4509108821871</v>
      </c>
      <c r="H44" s="36">
        <f>H207</f>
        <v>3596.9710661594168</v>
      </c>
      <c r="I44" s="36">
        <f>I207</f>
        <v>4963.7269421731926</v>
      </c>
      <c r="J44" s="36">
        <f>J207</f>
        <v>6988.752009325277</v>
      </c>
      <c r="K44" s="36">
        <f>K207</f>
        <v>9203.7861411679678</v>
      </c>
      <c r="M44" s="165"/>
      <c r="N44" s="165"/>
      <c r="O44" s="5"/>
      <c r="P44" s="5"/>
    </row>
    <row r="45" spans="2:16" x14ac:dyDescent="0.3">
      <c r="B45" s="5" t="s">
        <v>101</v>
      </c>
      <c r="C45" s="5"/>
      <c r="D45" s="84">
        <f>'Balance Sheet'!C27</f>
        <v>1687.75</v>
      </c>
      <c r="E45" s="84">
        <f>'Balance Sheet'!D27</f>
        <v>3753.08</v>
      </c>
      <c r="F45" s="84">
        <f>'Balance Sheet'!E27</f>
        <v>34.020000000000003</v>
      </c>
      <c r="G45" s="36">
        <f>F45</f>
        <v>34.020000000000003</v>
      </c>
      <c r="H45" s="36">
        <f t="shared" ref="H45:K45" si="22">G45</f>
        <v>34.020000000000003</v>
      </c>
      <c r="I45" s="36">
        <f t="shared" si="22"/>
        <v>34.020000000000003</v>
      </c>
      <c r="J45" s="36">
        <f t="shared" si="22"/>
        <v>34.020000000000003</v>
      </c>
      <c r="K45" s="36">
        <f t="shared" si="22"/>
        <v>34.020000000000003</v>
      </c>
      <c r="M45" s="165"/>
      <c r="N45" s="165"/>
      <c r="O45" s="5"/>
      <c r="P45" s="5"/>
    </row>
    <row r="46" spans="2:16" s="5" customFormat="1" x14ac:dyDescent="0.3">
      <c r="B46" t="s">
        <v>58</v>
      </c>
      <c r="C46"/>
      <c r="D46" s="69">
        <f>'Balance Sheet'!C22</f>
        <v>14.72</v>
      </c>
      <c r="E46" s="69">
        <f>'Balance Sheet'!D22</f>
        <v>17</v>
      </c>
      <c r="F46" s="69">
        <f>'Balance Sheet'!E22</f>
        <v>26.03</v>
      </c>
      <c r="G46" s="74">
        <f>'Schedule Sheet'!G129</f>
        <v>36.81587835616439</v>
      </c>
      <c r="H46" s="74">
        <f>'Schedule Sheet'!G129</f>
        <v>36.81587835616439</v>
      </c>
      <c r="I46" s="74">
        <f>'Schedule Sheet'!H129</f>
        <v>50.246574739726036</v>
      </c>
      <c r="J46" s="74">
        <f>'Schedule Sheet'!I129</f>
        <v>70.079390751780835</v>
      </c>
      <c r="K46" s="74">
        <f>'Schedule Sheet'!J129</f>
        <v>99.567716166838366</v>
      </c>
      <c r="L46"/>
      <c r="M46" s="2"/>
      <c r="N46" s="2"/>
      <c r="O46"/>
      <c r="P46"/>
    </row>
    <row r="47" spans="2:16" s="5" customFormat="1" x14ac:dyDescent="0.3">
      <c r="B47" t="s">
        <v>56</v>
      </c>
      <c r="C47"/>
      <c r="D47" s="69">
        <f>'Balance Sheet'!C25</f>
        <v>1170.5899999999999</v>
      </c>
      <c r="E47" s="69">
        <f>'Balance Sheet'!D25</f>
        <v>1470.26</v>
      </c>
      <c r="F47" s="69">
        <f>'Balance Sheet'!E25</f>
        <v>2364.9499999999998</v>
      </c>
      <c r="G47" s="74">
        <f>'Schedule Sheet'!G124</f>
        <v>3681.5878356164385</v>
      </c>
      <c r="H47" s="74">
        <f>'Schedule Sheet'!G124</f>
        <v>3681.5878356164385</v>
      </c>
      <c r="I47" s="74">
        <f>'Schedule Sheet'!H124</f>
        <v>4321.2054276164381</v>
      </c>
      <c r="J47" s="74">
        <f>'Schedule Sheet'!I124</f>
        <v>5746.5100416460282</v>
      </c>
      <c r="K47" s="74">
        <f>'Schedule Sheet'!J124</f>
        <v>7965.4172933470691</v>
      </c>
      <c r="L47"/>
      <c r="M47" s="162"/>
      <c r="N47" s="162"/>
      <c r="O47"/>
      <c r="P47"/>
    </row>
    <row r="48" spans="2:16" x14ac:dyDescent="0.3">
      <c r="B48" t="s">
        <v>102</v>
      </c>
      <c r="D48" s="69">
        <f>'Balance Sheet'!C24+'Balance Sheet'!C28</f>
        <v>145.91999999999999</v>
      </c>
      <c r="E48" s="69">
        <f>'Balance Sheet'!D24+'Balance Sheet'!D28</f>
        <v>517.63</v>
      </c>
      <c r="F48" s="69">
        <f>'Balance Sheet'!E24+'Balance Sheet'!E28</f>
        <v>300</v>
      </c>
      <c r="G48" s="74">
        <f>'Schedule Sheet'!G178</f>
        <v>268.75591200000002</v>
      </c>
      <c r="H48" s="74">
        <f>'Schedule Sheet'!H178</f>
        <v>366.79999560000005</v>
      </c>
      <c r="I48" s="74">
        <f>'Schedule Sheet'!I178</f>
        <v>511.57955248800005</v>
      </c>
      <c r="J48" s="74">
        <f>'Schedule Sheet'!J178</f>
        <v>726.84432801792002</v>
      </c>
      <c r="K48" s="74">
        <f>'Schedule Sheet'!K178</f>
        <v>1054.2257252868096</v>
      </c>
      <c r="L48"/>
    </row>
    <row r="49" spans="2:15" x14ac:dyDescent="0.3">
      <c r="B49" t="s">
        <v>365</v>
      </c>
      <c r="D49" s="69">
        <f>'Balance Sheet'!C29</f>
        <v>2293.56</v>
      </c>
      <c r="E49" s="69">
        <f>'Balance Sheet'!D29</f>
        <v>4181.1499999999996</v>
      </c>
      <c r="F49" s="69">
        <f>'Balance Sheet'!E29</f>
        <v>3730.6</v>
      </c>
      <c r="G49" s="74">
        <f>'Schedule Sheet'!G134</f>
        <v>4031.3386800000003</v>
      </c>
      <c r="H49" s="74">
        <f>'Schedule Sheet'!H134+74.6243023095594</f>
        <v>4476.2242495095597</v>
      </c>
      <c r="I49" s="74">
        <f>'Schedule Sheet'!I134</f>
        <v>5115.7955248800008</v>
      </c>
      <c r="J49" s="74">
        <f>'Schedule Sheet'!J134</f>
        <v>5814.7546241433602</v>
      </c>
      <c r="K49" s="74">
        <f>'Schedule Sheet'!K134+22.7329044755752</f>
        <v>6348.0872561964325</v>
      </c>
      <c r="L49"/>
    </row>
    <row r="50" spans="2:15" x14ac:dyDescent="0.3">
      <c r="B50" t="s">
        <v>177</v>
      </c>
      <c r="D50" s="69">
        <f>'Balance Sheet'!C30</f>
        <v>307.85000000000002</v>
      </c>
      <c r="E50" s="69">
        <f>'Balance Sheet'!D30</f>
        <v>241.51</v>
      </c>
      <c r="F50" s="69">
        <f>'Balance Sheet'!E30</f>
        <v>421.38</v>
      </c>
      <c r="G50" s="74">
        <f>F50</f>
        <v>421.38</v>
      </c>
      <c r="H50" s="74">
        <f t="shared" ref="H50:K50" si="23">G50</f>
        <v>421.38</v>
      </c>
      <c r="I50" s="74">
        <f t="shared" si="23"/>
        <v>421.38</v>
      </c>
      <c r="J50" s="74">
        <f t="shared" si="23"/>
        <v>421.38</v>
      </c>
      <c r="K50" s="74">
        <f t="shared" si="23"/>
        <v>421.38</v>
      </c>
      <c r="L50"/>
    </row>
    <row r="51" spans="2:15" x14ac:dyDescent="0.3">
      <c r="B51" t="s">
        <v>73</v>
      </c>
      <c r="D51" s="69">
        <f>'Balance Sheet'!C31</f>
        <v>558.28</v>
      </c>
      <c r="E51" s="69">
        <f>'Balance Sheet'!D31</f>
        <v>1101.21</v>
      </c>
      <c r="F51" s="69">
        <f>'Balance Sheet'!E31</f>
        <v>1441.21</v>
      </c>
      <c r="G51" s="74">
        <f>'Schedule Sheet'!G139</f>
        <v>1612.535472</v>
      </c>
      <c r="H51" s="74">
        <f>'Schedule Sheet'!H139</f>
        <v>2200.7999736000002</v>
      </c>
      <c r="I51" s="74">
        <f>'Schedule Sheet'!I139</f>
        <v>2557.8977624400004</v>
      </c>
      <c r="J51" s="74">
        <f>'Schedule Sheet'!J139</f>
        <v>2907.3773120716801</v>
      </c>
      <c r="K51" s="74">
        <f>'Schedule Sheet'!K139</f>
        <v>3162.6771758604286</v>
      </c>
      <c r="L51"/>
    </row>
    <row r="52" spans="2:15" x14ac:dyDescent="0.3">
      <c r="B52" s="62" t="s">
        <v>103</v>
      </c>
      <c r="C52" s="62"/>
      <c r="D52" s="70">
        <f>SUM(D44:D51)</f>
        <v>7021.63</v>
      </c>
      <c r="E52" s="70">
        <f t="shared" ref="E52:F52" si="24">SUM(E44:E51)</f>
        <v>12546.240000000002</v>
      </c>
      <c r="F52" s="70">
        <f t="shared" si="24"/>
        <v>10165.619999999999</v>
      </c>
      <c r="G52" s="70">
        <f>SUM(G44:G51)</f>
        <v>12777.884688854789</v>
      </c>
      <c r="H52" s="70">
        <f t="shared" ref="H52" si="25">SUM(H44:H51)</f>
        <v>14814.598998841579</v>
      </c>
      <c r="I52" s="70">
        <f t="shared" ref="I52" si="26">SUM(I44:I51)</f>
        <v>17975.851784337359</v>
      </c>
      <c r="J52" s="70">
        <f t="shared" ref="J52" si="27">SUM(J44:J51)</f>
        <v>22709.717705956045</v>
      </c>
      <c r="K52" s="70">
        <f t="shared" ref="K52" si="28">SUM(K44:K51)</f>
        <v>28289.161308025552</v>
      </c>
      <c r="L52"/>
    </row>
    <row r="53" spans="2:15" x14ac:dyDescent="0.3">
      <c r="E53" s="25"/>
      <c r="L53"/>
    </row>
    <row r="54" spans="2:15" x14ac:dyDescent="0.3">
      <c r="B54" t="s">
        <v>104</v>
      </c>
      <c r="D54" s="25">
        <f>'Balance Sheet'!C10</f>
        <v>267.57</v>
      </c>
      <c r="E54" s="25">
        <f>'Balance Sheet'!D10</f>
        <v>169.06</v>
      </c>
      <c r="F54" s="25">
        <f>'Balance Sheet'!E10</f>
        <v>245.04</v>
      </c>
      <c r="G54" s="74">
        <f>'Schedule Sheet'!G44</f>
        <v>345.89693400000004</v>
      </c>
      <c r="H54" s="74">
        <f>'Schedule Sheet'!H44</f>
        <v>453.09795270000006</v>
      </c>
      <c r="I54" s="74">
        <f>'Schedule Sheet'!I44</f>
        <v>577.18364016600015</v>
      </c>
      <c r="J54" s="74">
        <f>'Schedule Sheet'!J44</f>
        <v>734.82302115744017</v>
      </c>
      <c r="K54" s="74">
        <f>'Schedule Sheet'!K44</f>
        <v>956.28736809606744</v>
      </c>
      <c r="L54"/>
    </row>
    <row r="55" spans="2:15" x14ac:dyDescent="0.3">
      <c r="B55" t="s">
        <v>32</v>
      </c>
      <c r="D55" s="25">
        <f>'Balance Sheet'!C13</f>
        <v>960.73</v>
      </c>
      <c r="E55" s="25">
        <f>'Balance Sheet'!D13</f>
        <v>810.77</v>
      </c>
      <c r="F55" s="25">
        <f>'Balance Sheet'!E13</f>
        <v>885.54</v>
      </c>
      <c r="G55" s="74">
        <f>'Schedule Sheet'!G50</f>
        <v>846.25472960000002</v>
      </c>
      <c r="H55" s="74">
        <f>'Schedule Sheet'!H50</f>
        <v>831.6535436800001</v>
      </c>
      <c r="I55" s="74">
        <f>'Schedule Sheet'!I50</f>
        <v>859.51600415040014</v>
      </c>
      <c r="J55" s="74">
        <f>'Schedule Sheet'!J50</f>
        <v>957.27437454713606</v>
      </c>
      <c r="K55" s="74">
        <f>'Schedule Sheet'!K50</f>
        <v>1171.5689971553995</v>
      </c>
      <c r="L55"/>
    </row>
    <row r="56" spans="2:15" x14ac:dyDescent="0.3">
      <c r="B56" t="s">
        <v>169</v>
      </c>
      <c r="D56" s="25">
        <f>'Balance Sheet'!C11</f>
        <v>9153.15</v>
      </c>
      <c r="E56" s="25">
        <f>'Balance Sheet'!D11</f>
        <v>9153.15</v>
      </c>
      <c r="F56" s="25">
        <f>'Balance Sheet'!E11</f>
        <v>9153.15</v>
      </c>
      <c r="G56" s="74">
        <f>F56</f>
        <v>9153.15</v>
      </c>
      <c r="H56" s="74">
        <f t="shared" ref="H56:K56" si="29">G56</f>
        <v>9153.15</v>
      </c>
      <c r="I56" s="74">
        <f t="shared" si="29"/>
        <v>9153.15</v>
      </c>
      <c r="J56" s="74">
        <f t="shared" si="29"/>
        <v>9153.15</v>
      </c>
      <c r="K56" s="74">
        <f t="shared" si="29"/>
        <v>9153.15</v>
      </c>
      <c r="L56"/>
    </row>
    <row r="57" spans="2:15" x14ac:dyDescent="0.3">
      <c r="B57" t="s">
        <v>36</v>
      </c>
      <c r="D57" s="25">
        <f>'Balance Sheet'!C18</f>
        <v>685.58</v>
      </c>
      <c r="E57" s="25">
        <f>'Balance Sheet'!D18</f>
        <v>319.55</v>
      </c>
      <c r="F57" s="25">
        <f>'Balance Sheet'!E18</f>
        <v>8.15</v>
      </c>
      <c r="G57" s="74">
        <f>'Schedule Sheet'!G64</f>
        <v>181.41024060000004</v>
      </c>
      <c r="H57" s="74">
        <f>'Schedule Sheet'!H64</f>
        <v>243.92199707400005</v>
      </c>
      <c r="I57" s="74">
        <f>'Schedule Sheet'!I64</f>
        <v>335.08460687964003</v>
      </c>
      <c r="J57" s="74">
        <f>'Schedule Sheet'!J64</f>
        <v>472.44881321164809</v>
      </c>
      <c r="K57" s="74">
        <f>'Schedule Sheet'!K64</f>
        <v>685.24672143642636</v>
      </c>
      <c r="L57"/>
    </row>
    <row r="58" spans="2:15" x14ac:dyDescent="0.3">
      <c r="B58" t="s">
        <v>35</v>
      </c>
      <c r="C58" s="27"/>
      <c r="D58" s="25">
        <f>'Balance Sheet'!C16+'Balance Sheet'!C17</f>
        <v>2385.6799999999998</v>
      </c>
      <c r="E58" s="25">
        <f>'Balance Sheet'!D16+'Balance Sheet'!D17</f>
        <v>79.88</v>
      </c>
      <c r="F58" s="25">
        <f>'Balance Sheet'!E16+'Balance Sheet'!E17</f>
        <v>4585.2700000000004</v>
      </c>
      <c r="G58" s="74">
        <f>'Schedule Sheet'!G60</f>
        <v>5375.1182400000007</v>
      </c>
      <c r="H58" s="74">
        <f>'Schedule Sheet'!H60</f>
        <v>6969.1999164000008</v>
      </c>
      <c r="I58" s="74">
        <f>'Schedule Sheet'!I60</f>
        <v>9208.4319447840007</v>
      </c>
      <c r="J58" s="74">
        <f>'Schedule Sheet'!J60</f>
        <v>11629.50924828672</v>
      </c>
      <c r="K58" s="74">
        <f>'Schedule Sheet'!K60</f>
        <v>16867.611604588954</v>
      </c>
      <c r="L58"/>
    </row>
    <row r="59" spans="2:15" x14ac:dyDescent="0.3">
      <c r="B59" t="s">
        <v>37</v>
      </c>
      <c r="D59" s="25">
        <f>'Balance Sheet'!C12</f>
        <v>37.840000000000003</v>
      </c>
      <c r="E59" s="25">
        <f>'Balance Sheet'!D12</f>
        <v>7.57</v>
      </c>
      <c r="F59" s="25">
        <f>'Balance Sheet'!E12</f>
        <v>4.91</v>
      </c>
      <c r="G59" s="74">
        <f>'Schedule Sheet'!G56</f>
        <v>17.096693400000003</v>
      </c>
      <c r="H59" s="74">
        <f>'Schedule Sheet'!H56</f>
        <v>29.917795270000006</v>
      </c>
      <c r="I59" s="74">
        <f>'Schedule Sheet'!I56</f>
        <v>44.427364016600023</v>
      </c>
      <c r="J59" s="74">
        <f>'Schedule Sheet'!J56</f>
        <v>62.292302115744036</v>
      </c>
      <c r="K59" s="74">
        <f>'Schedule Sheet'!K56</f>
        <v>86.539736809606737</v>
      </c>
      <c r="L59"/>
    </row>
    <row r="60" spans="2:15" x14ac:dyDescent="0.3">
      <c r="B60" s="62" t="s">
        <v>105</v>
      </c>
      <c r="C60" s="62"/>
      <c r="D60" s="70">
        <f>SUM(D54:D59)</f>
        <v>13490.55</v>
      </c>
      <c r="E60" s="70">
        <f>SUM(E54:E59)</f>
        <v>10539.979999999998</v>
      </c>
      <c r="F60" s="70">
        <f>SUM(F54:F59)</f>
        <v>14882.06</v>
      </c>
      <c r="G60" s="70">
        <f t="shared" ref="G60:K60" si="30">SUM(G54:G59)</f>
        <v>15918.926837600002</v>
      </c>
      <c r="H60" s="70">
        <f t="shared" si="30"/>
        <v>17680.941205124003</v>
      </c>
      <c r="I60" s="70">
        <f t="shared" si="30"/>
        <v>20177.79355999664</v>
      </c>
      <c r="J60" s="70">
        <f t="shared" si="30"/>
        <v>23009.497759318689</v>
      </c>
      <c r="K60" s="70">
        <f t="shared" si="30"/>
        <v>28920.404428086451</v>
      </c>
      <c r="L60"/>
    </row>
    <row r="61" spans="2:15" x14ac:dyDescent="0.3">
      <c r="L61"/>
    </row>
    <row r="62" spans="2:15" ht="15" thickBot="1" x14ac:dyDescent="0.35">
      <c r="B62" s="30" t="s">
        <v>106</v>
      </c>
      <c r="C62" s="31"/>
      <c r="D62" s="32">
        <f>D52+D60</f>
        <v>20512.18</v>
      </c>
      <c r="E62" s="32">
        <f t="shared" ref="E62:K62" si="31">E52+E60</f>
        <v>23086.22</v>
      </c>
      <c r="F62" s="32">
        <f t="shared" si="31"/>
        <v>25047.68</v>
      </c>
      <c r="G62" s="32">
        <f>G52+G60</f>
        <v>28696.811526454789</v>
      </c>
      <c r="H62" s="32">
        <f t="shared" si="31"/>
        <v>32495.540203965582</v>
      </c>
      <c r="I62" s="32">
        <f t="shared" si="31"/>
        <v>38153.645344334</v>
      </c>
      <c r="J62" s="32">
        <f t="shared" si="31"/>
        <v>45719.215465274734</v>
      </c>
      <c r="K62" s="32">
        <f t="shared" si="31"/>
        <v>57209.565736112003</v>
      </c>
      <c r="L62"/>
      <c r="M62" s="166"/>
      <c r="N62" s="166"/>
      <c r="O62" s="25"/>
    </row>
    <row r="63" spans="2:15" x14ac:dyDescent="0.3">
      <c r="L63"/>
      <c r="M63" s="162"/>
      <c r="O63" s="27"/>
    </row>
    <row r="64" spans="2:15" x14ac:dyDescent="0.3">
      <c r="L64"/>
    </row>
    <row r="65" spans="2:14" x14ac:dyDescent="0.3">
      <c r="B65" s="60" t="s">
        <v>107</v>
      </c>
      <c r="L65"/>
    </row>
    <row r="66" spans="2:14" x14ac:dyDescent="0.3">
      <c r="B66" t="s">
        <v>108</v>
      </c>
      <c r="D66" s="69">
        <f>'Balance Sheet'!C53+'Balance Sheet'!C54</f>
        <v>2020.24</v>
      </c>
      <c r="E66" s="69">
        <f>'Balance Sheet'!D53+'Balance Sheet'!D54</f>
        <v>2293.9499999999998</v>
      </c>
      <c r="F66" s="69">
        <f>'Balance Sheet'!E53+'Balance Sheet'!E54</f>
        <v>2721.62</v>
      </c>
      <c r="G66" s="74">
        <f>'Schedule Sheet'!G144</f>
        <v>3313.4290520547947</v>
      </c>
      <c r="H66" s="74">
        <f>'Schedule Sheet'!H144</f>
        <v>4019.7259791780825</v>
      </c>
      <c r="I66" s="74">
        <f>'Schedule Sheet'!I144</f>
        <v>4905.5573526246581</v>
      </c>
      <c r="J66" s="74">
        <f>'Schedule Sheet'!J144</f>
        <v>5974.0629700103018</v>
      </c>
      <c r="K66" s="74">
        <f>'Schedule Sheet'!K144</f>
        <v>7220.7241458000653</v>
      </c>
      <c r="L66"/>
      <c r="M66" s="162"/>
      <c r="N66" s="162"/>
    </row>
    <row r="67" spans="2:14" x14ac:dyDescent="0.3">
      <c r="B67" t="s">
        <v>109</v>
      </c>
      <c r="D67" s="69">
        <f>'Balance Sheet'!C56</f>
        <v>90.63</v>
      </c>
      <c r="E67" s="69">
        <f>'Balance Sheet'!D56</f>
        <v>115.03</v>
      </c>
      <c r="F67" s="69">
        <f>'Balance Sheet'!E56</f>
        <v>156.59</v>
      </c>
      <c r="G67" s="74">
        <f>'Schedule Sheet'!G149</f>
        <v>268.75591200000002</v>
      </c>
      <c r="H67" s="74">
        <f>'Schedule Sheet'!H149</f>
        <v>366.79999560000005</v>
      </c>
      <c r="I67" s="74">
        <f>'Schedule Sheet'!I149</f>
        <v>511.57955248800005</v>
      </c>
      <c r="J67" s="74">
        <f>'Schedule Sheet'!J149</f>
        <v>726.84432801792002</v>
      </c>
      <c r="K67" s="74">
        <f>'Schedule Sheet'!K149</f>
        <v>1054.2257252868096</v>
      </c>
      <c r="L67"/>
      <c r="M67" s="162"/>
      <c r="N67" s="162"/>
    </row>
    <row r="68" spans="2:14" x14ac:dyDescent="0.3">
      <c r="B68" t="s">
        <v>76</v>
      </c>
      <c r="D68" s="69">
        <f>'Balance Sheet'!C57</f>
        <v>1148.1099999999999</v>
      </c>
      <c r="E68" s="69">
        <f>'Balance Sheet'!D57</f>
        <v>1335.67</v>
      </c>
      <c r="F68" s="69">
        <f>'Balance Sheet'!E57</f>
        <v>1853.53</v>
      </c>
      <c r="G68" s="74">
        <f>'Schedule Sheet'!G158</f>
        <v>2418.8032080000003</v>
      </c>
      <c r="H68" s="74">
        <f>'Schedule Sheet'!H158</f>
        <v>3117.7999626000005</v>
      </c>
      <c r="I68" s="74">
        <f>'Schedule Sheet'!I158</f>
        <v>4092.6364199040004</v>
      </c>
      <c r="J68" s="74">
        <f>'Schedule Sheet'!J158</f>
        <v>5451.3324601344002</v>
      </c>
      <c r="K68" s="74">
        <f>'Schedule Sheet'!K158</f>
        <v>7379.5800770076676</v>
      </c>
      <c r="L68"/>
      <c r="M68" s="162"/>
      <c r="N68" s="162"/>
    </row>
    <row r="69" spans="2:14" x14ac:dyDescent="0.3">
      <c r="B69" t="s">
        <v>64</v>
      </c>
      <c r="D69" s="69">
        <f>'Balance Sheet'!C52</f>
        <v>180.65</v>
      </c>
      <c r="E69" s="69">
        <f>'Balance Sheet'!D52</f>
        <v>167.15</v>
      </c>
      <c r="F69" s="69">
        <f>'Balance Sheet'!E52</f>
        <v>275.49</v>
      </c>
      <c r="G69" s="74">
        <f>'Schedule Sheet'!G190</f>
        <v>268.75591200000002</v>
      </c>
      <c r="H69" s="74">
        <f>'Schedule Sheet'!H190</f>
        <v>366.79999560000005</v>
      </c>
      <c r="I69" s="74">
        <f>'Schedule Sheet'!I190</f>
        <v>511.57955248800005</v>
      </c>
      <c r="J69" s="74">
        <f>'Schedule Sheet'!J190</f>
        <v>726.84432801792002</v>
      </c>
      <c r="K69" s="74">
        <f>'Schedule Sheet'!K190</f>
        <v>1054.2257252868096</v>
      </c>
      <c r="L69"/>
      <c r="M69" s="162"/>
      <c r="N69" s="162"/>
    </row>
    <row r="70" spans="2:14" x14ac:dyDescent="0.3">
      <c r="B70" t="s">
        <v>375</v>
      </c>
      <c r="D70" s="69">
        <f>'Balance Sheet'!C51</f>
        <v>2132.75</v>
      </c>
      <c r="E70" s="69">
        <f>'Balance Sheet'!D51</f>
        <v>2446.65</v>
      </c>
      <c r="F70" s="69">
        <f>'Balance Sheet'!E51</f>
        <v>2420.12</v>
      </c>
      <c r="G70" s="74">
        <f>'Schedule Sheet'!G194</f>
        <v>3225.0709440000001</v>
      </c>
      <c r="H70" s="74">
        <f>'Schedule Sheet'!H194</f>
        <v>3667.9999560000006</v>
      </c>
      <c r="I70" s="74">
        <f>'Schedule Sheet'!I194</f>
        <v>4092.6364199040004</v>
      </c>
      <c r="J70" s="74">
        <f>'Schedule Sheet'!J194</f>
        <v>4361.0659681075203</v>
      </c>
      <c r="K70" s="74">
        <f>'Schedule Sheet'!K194</f>
        <v>4216.9029011472385</v>
      </c>
      <c r="L70"/>
      <c r="M70" s="162"/>
      <c r="N70" s="162"/>
    </row>
    <row r="71" spans="2:14" x14ac:dyDescent="0.3">
      <c r="B71" t="s">
        <v>110</v>
      </c>
      <c r="D71" s="69">
        <f>'Balance Sheet'!C55</f>
        <v>1179.22</v>
      </c>
      <c r="E71" s="69">
        <f>'Balance Sheet'!D55</f>
        <v>998.08</v>
      </c>
      <c r="F71" s="69">
        <f>'Balance Sheet'!E55</f>
        <v>1501.07</v>
      </c>
      <c r="G71" s="74">
        <f>'Schedule Sheet'!G153</f>
        <v>2150.0472960000002</v>
      </c>
      <c r="H71" s="74">
        <f>'Schedule Sheet'!H153</f>
        <v>2640.9599683199999</v>
      </c>
      <c r="I71" s="74">
        <f>'Schedule Sheet'!I153</f>
        <v>3529.8989121672007</v>
      </c>
      <c r="J71" s="74">
        <f>'Schedule Sheet'!J153</f>
        <v>4797.1725649182727</v>
      </c>
      <c r="K71" s="74">
        <f>'Schedule Sheet'!K153</f>
        <v>6325.3543517208573</v>
      </c>
      <c r="L71"/>
      <c r="M71" s="162"/>
      <c r="N71" s="162"/>
    </row>
    <row r="72" spans="2:14" x14ac:dyDescent="0.3">
      <c r="B72" s="62" t="s">
        <v>77</v>
      </c>
      <c r="C72" s="62"/>
      <c r="D72" s="70">
        <f>SUM(D66:D71)</f>
        <v>6751.5999999999995</v>
      </c>
      <c r="E72" s="70">
        <f t="shared" ref="E72:F72" si="32">SUM(E66:E71)</f>
        <v>7356.5300000000007</v>
      </c>
      <c r="F72" s="70">
        <f t="shared" si="32"/>
        <v>8928.42</v>
      </c>
      <c r="G72" s="70">
        <f t="shared" ref="G72" si="33">SUM(G66:G71)</f>
        <v>11644.862324054795</v>
      </c>
      <c r="H72" s="70">
        <f t="shared" ref="H72" si="34">SUM(H66:H71)</f>
        <v>14180.085857298083</v>
      </c>
      <c r="I72" s="70">
        <f t="shared" ref="I72" si="35">SUM(I66:I71)</f>
        <v>17643.88820957586</v>
      </c>
      <c r="J72" s="70">
        <f t="shared" ref="J72" si="36">SUM(J66:J71)</f>
        <v>22037.322619206334</v>
      </c>
      <c r="K72" s="70">
        <f t="shared" ref="K72" si="37">SUM(K66:K71)</f>
        <v>27251.012926249448</v>
      </c>
      <c r="L72"/>
      <c r="M72" s="162"/>
      <c r="N72" s="162"/>
    </row>
    <row r="73" spans="2:14" x14ac:dyDescent="0.3">
      <c r="F73" s="25"/>
      <c r="L73"/>
    </row>
    <row r="74" spans="2:14" x14ac:dyDescent="0.3">
      <c r="B74" t="s">
        <v>111</v>
      </c>
      <c r="D74" s="69">
        <f>'Balance Sheet'!C45</f>
        <v>845.75</v>
      </c>
      <c r="E74" s="69">
        <f>'Balance Sheet'!D45</f>
        <v>732.37</v>
      </c>
      <c r="F74" s="69">
        <f>'Balance Sheet'!E45</f>
        <v>752.24</v>
      </c>
      <c r="G74" s="74">
        <f>'Schedule Sheet'!G182+15.0430085999942</f>
        <v>1090.0666565999943</v>
      </c>
      <c r="H74" s="74">
        <f>'Schedule Sheet'!H182</f>
        <v>1833.9999780000003</v>
      </c>
      <c r="I74" s="74">
        <f>'Schedule Sheet'!I182+49.7281661523884</f>
        <v>2607.6259285923888</v>
      </c>
      <c r="J74" s="74">
        <f>'Schedule Sheet'!J182+65.0466222217874</f>
        <v>3771.9526951131793</v>
      </c>
      <c r="K74" s="74">
        <f>'Schedule Sheet'!K182</f>
        <v>6325.3543517208573</v>
      </c>
      <c r="L74"/>
      <c r="M74" s="162"/>
      <c r="N74" s="162"/>
    </row>
    <row r="75" spans="2:14" x14ac:dyDescent="0.3">
      <c r="B75" t="s">
        <v>67</v>
      </c>
      <c r="D75" s="69">
        <f>'Balance Sheet'!C46</f>
        <v>53.06</v>
      </c>
      <c r="E75" s="69">
        <f>'Balance Sheet'!D46</f>
        <v>84.81</v>
      </c>
      <c r="F75" s="69">
        <f>'Balance Sheet'!E46</f>
        <v>123.91</v>
      </c>
      <c r="G75" s="74">
        <f>'Schedule Sheet'!G186</f>
        <v>403.13386800000001</v>
      </c>
      <c r="H75" s="74">
        <f>'Schedule Sheet'!H186</f>
        <v>366.79999560000005</v>
      </c>
      <c r="I75" s="74">
        <f>'Schedule Sheet'!I186</f>
        <v>613.89546298560003</v>
      </c>
      <c r="J75" s="74">
        <f>'Schedule Sheet'!J186</f>
        <v>654.15989521612801</v>
      </c>
      <c r="K75" s="74">
        <f>'Schedule Sheet'!K186</f>
        <v>1475.9160154015335</v>
      </c>
      <c r="L75"/>
      <c r="M75" s="162"/>
      <c r="N75" s="162"/>
    </row>
    <row r="76" spans="2:14" x14ac:dyDescent="0.3">
      <c r="B76" s="62" t="s">
        <v>112</v>
      </c>
      <c r="C76" s="62"/>
      <c r="D76" s="70">
        <f>SUM(D74:D75)</f>
        <v>898.81</v>
      </c>
      <c r="E76" s="70">
        <f t="shared" ref="E76:F76" si="38">SUM(E74:E75)</f>
        <v>817.18000000000006</v>
      </c>
      <c r="F76" s="70">
        <f t="shared" si="38"/>
        <v>876.15</v>
      </c>
      <c r="G76" s="70">
        <f t="shared" ref="G76" si="39">SUM(G74:G75)</f>
        <v>1493.2005245999944</v>
      </c>
      <c r="H76" s="70">
        <f t="shared" ref="H76" si="40">SUM(H74:H75)</f>
        <v>2200.7999736000002</v>
      </c>
      <c r="I76" s="70">
        <f t="shared" ref="I76" si="41">SUM(I74:I75)</f>
        <v>3221.5213915779887</v>
      </c>
      <c r="J76" s="70">
        <f t="shared" ref="J76" si="42">SUM(J74:J75)</f>
        <v>4426.1125903293068</v>
      </c>
      <c r="K76" s="70">
        <f t="shared" ref="K76" si="43">SUM(K74:K75)</f>
        <v>7801.2703671223908</v>
      </c>
      <c r="L76"/>
      <c r="M76" s="162"/>
      <c r="N76" s="162"/>
    </row>
    <row r="77" spans="2:14" x14ac:dyDescent="0.3">
      <c r="L77"/>
    </row>
    <row r="78" spans="2:14" x14ac:dyDescent="0.3">
      <c r="B78" t="s">
        <v>113</v>
      </c>
      <c r="D78" s="69">
        <f>'Balance Sheet'!C37</f>
        <v>5.18</v>
      </c>
      <c r="E78" s="69">
        <f>'Balance Sheet'!D37</f>
        <v>6.36</v>
      </c>
      <c r="F78" s="69">
        <f>'Balance Sheet'!E37</f>
        <v>6362.5</v>
      </c>
      <c r="G78" s="74">
        <f>F78</f>
        <v>6362.5</v>
      </c>
      <c r="H78" s="74">
        <f t="shared" ref="H78:K78" si="44">G78</f>
        <v>6362.5</v>
      </c>
      <c r="I78" s="74">
        <f t="shared" si="44"/>
        <v>6362.5</v>
      </c>
      <c r="J78" s="74">
        <f t="shared" si="44"/>
        <v>6362.5</v>
      </c>
      <c r="K78" s="74">
        <f t="shared" si="44"/>
        <v>6362.5</v>
      </c>
      <c r="L78"/>
      <c r="M78" s="162"/>
      <c r="N78" s="162"/>
    </row>
    <row r="79" spans="2:14" x14ac:dyDescent="0.3">
      <c r="B79" t="s">
        <v>182</v>
      </c>
      <c r="D79" s="69">
        <f>'Balance Sheet'!C38</f>
        <v>577.26</v>
      </c>
      <c r="E79" s="69">
        <f>'Balance Sheet'!D38</f>
        <v>595.24</v>
      </c>
      <c r="F79" s="69">
        <f>'Balance Sheet'!E38</f>
        <v>0</v>
      </c>
      <c r="G79" s="74">
        <f>F79</f>
        <v>0</v>
      </c>
      <c r="H79" s="74">
        <f t="shared" ref="H79:K79" si="45">G79</f>
        <v>0</v>
      </c>
      <c r="I79" s="74">
        <f t="shared" si="45"/>
        <v>0</v>
      </c>
      <c r="J79" s="74">
        <f t="shared" si="45"/>
        <v>0</v>
      </c>
      <c r="K79" s="74">
        <f t="shared" si="45"/>
        <v>0</v>
      </c>
      <c r="L79"/>
      <c r="M79" s="162"/>
      <c r="N79" s="162"/>
    </row>
    <row r="80" spans="2:14" x14ac:dyDescent="0.3">
      <c r="B80" t="s">
        <v>114</v>
      </c>
      <c r="D80" s="69">
        <f>'Balance Sheet'!C39</f>
        <v>12279.33</v>
      </c>
      <c r="E80" s="69">
        <f>'Balance Sheet'!D39</f>
        <v>14310.91</v>
      </c>
      <c r="F80" s="69">
        <f>'Balance Sheet'!E39</f>
        <v>8880.61</v>
      </c>
      <c r="G80" s="74">
        <f>'Schedule Sheet'!G116</f>
        <v>9196.2486777999984</v>
      </c>
      <c r="H80" s="74">
        <f>'Schedule Sheet'!H116</f>
        <v>9752.1543730675003</v>
      </c>
      <c r="I80" s="74">
        <f>'Schedule Sheet'!I116</f>
        <v>10925.735743180147</v>
      </c>
      <c r="J80" s="74">
        <f>'Schedule Sheet'!J116</f>
        <v>12893.280255739091</v>
      </c>
      <c r="K80" s="74">
        <f>'Schedule Sheet'!K116</f>
        <v>15794.782442740163</v>
      </c>
      <c r="L80"/>
      <c r="M80" s="162"/>
      <c r="N80" s="162"/>
    </row>
    <row r="81" spans="2:14" x14ac:dyDescent="0.3">
      <c r="B81" s="62" t="s">
        <v>115</v>
      </c>
      <c r="C81" s="62"/>
      <c r="D81" s="70">
        <f>SUM(D78:D80)</f>
        <v>12861.77</v>
      </c>
      <c r="E81" s="70">
        <f>SUM(E78:E80)</f>
        <v>14912.51</v>
      </c>
      <c r="F81" s="70">
        <f t="shared" ref="F81" si="46">SUM(F78:F80)</f>
        <v>15243.11</v>
      </c>
      <c r="G81" s="70">
        <f t="shared" ref="G81" si="47">SUM(G78:G80)</f>
        <v>15558.748677799998</v>
      </c>
      <c r="H81" s="70">
        <f t="shared" ref="H81" si="48">SUM(H78:H80)</f>
        <v>16114.6543730675</v>
      </c>
      <c r="I81" s="70">
        <f t="shared" ref="I81" si="49">SUM(I78:I80)</f>
        <v>17288.235743180147</v>
      </c>
      <c r="J81" s="70">
        <f t="shared" ref="J81" si="50">SUM(J78:J80)</f>
        <v>19255.78025573909</v>
      </c>
      <c r="K81" s="70">
        <f t="shared" ref="K81" si="51">SUM(K78:K80)</f>
        <v>22157.282442740165</v>
      </c>
      <c r="L81"/>
      <c r="M81" s="162"/>
      <c r="N81" s="162"/>
    </row>
    <row r="82" spans="2:14" x14ac:dyDescent="0.3">
      <c r="L82"/>
    </row>
    <row r="83" spans="2:14" ht="15" thickBot="1" x14ac:dyDescent="0.35">
      <c r="B83" s="30" t="s">
        <v>116</v>
      </c>
      <c r="C83" s="30"/>
      <c r="D83" s="32">
        <f>D72+D76+D81</f>
        <v>20512.18</v>
      </c>
      <c r="E83" s="32">
        <f t="shared" ref="E83:K83" si="52">E72+E76+E81</f>
        <v>23086.22</v>
      </c>
      <c r="F83" s="32">
        <f t="shared" si="52"/>
        <v>25047.68</v>
      </c>
      <c r="G83" s="32">
        <f t="shared" si="52"/>
        <v>28696.811526454789</v>
      </c>
      <c r="H83" s="32">
        <f t="shared" si="52"/>
        <v>32495.540203965582</v>
      </c>
      <c r="I83" s="32">
        <f t="shared" si="52"/>
        <v>38153.645344334</v>
      </c>
      <c r="J83" s="32">
        <f t="shared" si="52"/>
        <v>45719.215465274727</v>
      </c>
      <c r="K83" s="32">
        <f t="shared" si="52"/>
        <v>57209.565736112003</v>
      </c>
      <c r="L83"/>
      <c r="M83" s="162"/>
      <c r="N83" s="162"/>
    </row>
    <row r="84" spans="2:14" x14ac:dyDescent="0.3">
      <c r="D84" s="25">
        <f t="shared" ref="D84:G84" si="53">D62-D83</f>
        <v>0</v>
      </c>
      <c r="E84" s="25">
        <f t="shared" si="53"/>
        <v>0</v>
      </c>
      <c r="F84" s="25">
        <f t="shared" si="53"/>
        <v>0</v>
      </c>
      <c r="G84" s="154">
        <f t="shared" si="53"/>
        <v>0</v>
      </c>
      <c r="H84" s="154">
        <f>H62-H83</f>
        <v>0</v>
      </c>
      <c r="I84" s="154">
        <f>I62-I83</f>
        <v>0</v>
      </c>
      <c r="J84" s="154">
        <f>J62-J83</f>
        <v>0</v>
      </c>
      <c r="K84" s="154">
        <f>K62-K83</f>
        <v>0</v>
      </c>
      <c r="L84"/>
    </row>
    <row r="85" spans="2:14" x14ac:dyDescent="0.3">
      <c r="L85"/>
    </row>
    <row r="86" spans="2:14" ht="15.6" x14ac:dyDescent="0.3">
      <c r="B86" s="117" t="s">
        <v>117</v>
      </c>
      <c r="C86" s="109"/>
      <c r="D86" s="109"/>
      <c r="E86" s="109"/>
      <c r="F86" s="109"/>
      <c r="G86" s="109"/>
      <c r="H86" s="109"/>
      <c r="I86" s="109"/>
      <c r="J86" s="145"/>
      <c r="K86" s="145"/>
      <c r="L86"/>
    </row>
    <row r="87" spans="2:14" x14ac:dyDescent="0.3">
      <c r="L87"/>
    </row>
    <row r="88" spans="2:14" x14ac:dyDescent="0.3">
      <c r="B88" s="60" t="s">
        <v>48</v>
      </c>
      <c r="D88" s="95">
        <f>D39</f>
        <v>-5949.8099999999995</v>
      </c>
      <c r="E88" s="95">
        <f t="shared" ref="E88:K88" si="54">E39</f>
        <v>-744.48999999999705</v>
      </c>
      <c r="F88" s="95">
        <f t="shared" si="54"/>
        <v>-792.45000000000186</v>
      </c>
      <c r="G88" s="95">
        <f t="shared" si="54"/>
        <v>315.63867779999714</v>
      </c>
      <c r="H88" s="95">
        <f t="shared" si="54"/>
        <v>555.90569526750267</v>
      </c>
      <c r="I88" s="95">
        <f t="shared" si="54"/>
        <v>1173.5813701126453</v>
      </c>
      <c r="J88" s="95">
        <f t="shared" si="54"/>
        <v>1967.5445125589454</v>
      </c>
      <c r="K88" s="95">
        <f t="shared" si="54"/>
        <v>2901.5021870010719</v>
      </c>
      <c r="L88"/>
    </row>
    <row r="89" spans="2:14" x14ac:dyDescent="0.3">
      <c r="D89" s="69"/>
      <c r="E89" s="69"/>
      <c r="F89" s="69"/>
      <c r="G89" s="74"/>
      <c r="H89" s="74"/>
      <c r="I89" s="74"/>
      <c r="J89" s="74"/>
      <c r="K89" s="74"/>
      <c r="L89"/>
    </row>
    <row r="90" spans="2:14" x14ac:dyDescent="0.3">
      <c r="B90" s="21" t="s">
        <v>118</v>
      </c>
      <c r="D90" s="69"/>
      <c r="E90" s="69"/>
      <c r="F90" s="69"/>
      <c r="G90" s="74"/>
      <c r="H90" s="74"/>
      <c r="I90" s="74"/>
      <c r="J90" s="74"/>
      <c r="K90" s="74"/>
      <c r="L90"/>
    </row>
    <row r="91" spans="2:14" x14ac:dyDescent="0.3">
      <c r="B91" t="s">
        <v>232</v>
      </c>
      <c r="D91" s="69">
        <f>'Cash Flow Statement'!C11</f>
        <v>217.38</v>
      </c>
      <c r="E91" s="69">
        <f>'Cash Flow Statement'!D11</f>
        <v>120.13</v>
      </c>
      <c r="F91" s="69">
        <f>'Cash Flow Statement'!E11</f>
        <v>100.71</v>
      </c>
      <c r="G91" s="74">
        <f>'Schedule Sheet'!G77</f>
        <v>167.898978</v>
      </c>
      <c r="H91" s="74">
        <f>'Schedule Sheet'!H77</f>
        <v>259.59897690000003</v>
      </c>
      <c r="I91" s="74">
        <f>'Schedule Sheet'!I77</f>
        <v>387.49386502200002</v>
      </c>
      <c r="J91" s="74">
        <f>'Schedule Sheet'!J77</f>
        <v>569.20494702648</v>
      </c>
      <c r="K91" s="74">
        <f>'Schedule Sheet'!K77</f>
        <v>832.76137834818246</v>
      </c>
      <c r="L91"/>
    </row>
    <row r="92" spans="2:14" hidden="1" x14ac:dyDescent="0.3">
      <c r="D92" s="69"/>
      <c r="E92" s="69"/>
      <c r="F92" s="69"/>
      <c r="G92" s="74"/>
      <c r="H92" s="74"/>
      <c r="I92" s="74"/>
      <c r="J92" s="74"/>
      <c r="K92" s="74"/>
      <c r="L92"/>
    </row>
    <row r="93" spans="2:14" hidden="1" x14ac:dyDescent="0.3">
      <c r="D93" s="69"/>
      <c r="E93" s="69"/>
      <c r="F93" s="69"/>
      <c r="G93" s="74"/>
      <c r="H93" s="74"/>
      <c r="I93" s="74"/>
      <c r="J93" s="74"/>
      <c r="K93" s="74"/>
      <c r="L93"/>
    </row>
    <row r="94" spans="2:14" hidden="1" x14ac:dyDescent="0.3">
      <c r="B94" s="147"/>
      <c r="D94" s="69"/>
      <c r="E94" s="69"/>
      <c r="F94" s="69"/>
      <c r="G94" s="74"/>
      <c r="H94" s="74"/>
      <c r="I94" s="74"/>
      <c r="J94" s="74"/>
      <c r="K94" s="74"/>
      <c r="L94"/>
    </row>
    <row r="95" spans="2:14" collapsed="1" x14ac:dyDescent="0.3">
      <c r="B95" t="s">
        <v>235</v>
      </c>
      <c r="D95" s="69">
        <f>'Cash Flow Statement'!C15</f>
        <v>235.1</v>
      </c>
      <c r="E95" s="69">
        <f>'Cash Flow Statement'!D15</f>
        <v>201.8</v>
      </c>
      <c r="F95" s="69">
        <f>'Cash Flow Statement'!E15</f>
        <v>254.29</v>
      </c>
      <c r="G95" s="74">
        <f>'Schedule Sheet'!G87</f>
        <v>308.04118240000003</v>
      </c>
      <c r="H95" s="74">
        <f>'Schedule Sheet'!H87</f>
        <v>381.40118152000002</v>
      </c>
      <c r="I95" s="74">
        <f>'Schedule Sheet'!I87</f>
        <v>483.71709201760007</v>
      </c>
      <c r="J95" s="74">
        <f>'Schedule Sheet'!J87</f>
        <v>629.08595762118409</v>
      </c>
      <c r="K95" s="74">
        <f>'Schedule Sheet'!K87</f>
        <v>839.93110267854604</v>
      </c>
      <c r="L95"/>
    </row>
    <row r="96" spans="2:14" hidden="1" x14ac:dyDescent="0.3">
      <c r="B96" s="146"/>
      <c r="D96" s="69"/>
      <c r="E96" s="69"/>
      <c r="F96" s="69"/>
      <c r="G96" s="74"/>
      <c r="H96" s="74"/>
      <c r="I96" s="74"/>
      <c r="J96" s="74"/>
      <c r="K96" s="74"/>
      <c r="L96"/>
    </row>
    <row r="97" spans="2:12" hidden="1" x14ac:dyDescent="0.3">
      <c r="B97" s="147"/>
      <c r="D97" s="69"/>
      <c r="E97" s="69"/>
      <c r="F97" s="69"/>
      <c r="G97" s="74"/>
      <c r="H97" s="74"/>
      <c r="I97" s="74"/>
      <c r="J97" s="74"/>
      <c r="K97" s="74"/>
      <c r="L97"/>
    </row>
    <row r="98" spans="2:12" hidden="1" x14ac:dyDescent="0.3">
      <c r="D98" s="69"/>
      <c r="E98" s="69"/>
      <c r="F98" s="69"/>
      <c r="G98" s="74"/>
      <c r="H98" s="74"/>
      <c r="I98" s="74"/>
      <c r="J98" s="74"/>
      <c r="K98" s="74"/>
      <c r="L98"/>
    </row>
    <row r="99" spans="2:12" hidden="1" x14ac:dyDescent="0.3">
      <c r="D99" s="69"/>
      <c r="E99" s="69"/>
      <c r="F99" s="69"/>
      <c r="G99" s="74"/>
      <c r="H99" s="74"/>
      <c r="I99" s="74"/>
      <c r="J99" s="74"/>
      <c r="K99" s="74"/>
      <c r="L99"/>
    </row>
    <row r="100" spans="2:12" hidden="1" x14ac:dyDescent="0.3">
      <c r="B100" s="147"/>
      <c r="D100" s="69"/>
      <c r="E100" s="69"/>
      <c r="F100" s="69"/>
      <c r="G100" s="74"/>
      <c r="H100" s="74"/>
      <c r="I100" s="74"/>
      <c r="J100" s="74"/>
      <c r="K100" s="74"/>
      <c r="L100"/>
    </row>
    <row r="101" spans="2:12" collapsed="1" x14ac:dyDescent="0.3">
      <c r="B101" t="s">
        <v>234</v>
      </c>
      <c r="D101" s="69">
        <f>'Cash Flow Statement'!C13</f>
        <v>307.3</v>
      </c>
      <c r="E101" s="69">
        <f>'Cash Flow Statement'!D13</f>
        <v>30.27</v>
      </c>
      <c r="F101" s="69">
        <f>'Cash Flow Statement'!E13</f>
        <v>7.97</v>
      </c>
      <c r="G101" s="74">
        <f>'Schedule Sheet'!G97</f>
        <v>14.688897799999999</v>
      </c>
      <c r="H101" s="74">
        <f>'Schedule Sheet'!H97</f>
        <v>23.858897689999999</v>
      </c>
      <c r="I101" s="74">
        <f>'Schedule Sheet'!I97</f>
        <v>36.648386502199997</v>
      </c>
      <c r="J101" s="74">
        <f>'Schedule Sheet'!J97</f>
        <v>54.819494702648001</v>
      </c>
      <c r="K101" s="74">
        <f>'Schedule Sheet'!K97</f>
        <v>81.175137834818244</v>
      </c>
      <c r="L101"/>
    </row>
    <row r="102" spans="2:12" hidden="1" x14ac:dyDescent="0.3">
      <c r="D102" s="69"/>
      <c r="E102" s="69"/>
      <c r="F102" s="69"/>
      <c r="G102" s="74"/>
      <c r="H102" s="74"/>
      <c r="I102" s="74"/>
      <c r="J102" s="74"/>
      <c r="K102" s="74"/>
      <c r="L102"/>
    </row>
    <row r="103" spans="2:12" hidden="1" x14ac:dyDescent="0.3">
      <c r="D103" s="69"/>
      <c r="E103" s="69"/>
      <c r="F103" s="69"/>
      <c r="G103" s="74"/>
      <c r="H103" s="74"/>
      <c r="I103" s="74"/>
      <c r="J103" s="74"/>
      <c r="K103" s="74"/>
      <c r="L103"/>
    </row>
    <row r="104" spans="2:12" hidden="1" x14ac:dyDescent="0.3">
      <c r="B104" s="146"/>
      <c r="D104" s="69"/>
      <c r="E104" s="69"/>
      <c r="F104" s="69"/>
      <c r="G104" s="74"/>
      <c r="H104" s="74"/>
      <c r="I104" s="74"/>
      <c r="J104" s="74"/>
      <c r="K104" s="74"/>
      <c r="L104"/>
    </row>
    <row r="105" spans="2:12" collapsed="1" x14ac:dyDescent="0.3">
      <c r="B105" t="s">
        <v>233</v>
      </c>
      <c r="D105" s="69">
        <f>'Cash Flow Statement'!C12</f>
        <v>1767.42</v>
      </c>
      <c r="E105" s="69">
        <f>'Cash Flow Statement'!D12</f>
        <v>0</v>
      </c>
      <c r="F105" s="69">
        <f>'Cash Flow Statement'!E12</f>
        <v>0</v>
      </c>
      <c r="G105" s="74">
        <f>F105</f>
        <v>0</v>
      </c>
      <c r="H105" s="74">
        <f t="shared" ref="H105:K105" si="55">G105</f>
        <v>0</v>
      </c>
      <c r="I105" s="74">
        <f t="shared" si="55"/>
        <v>0</v>
      </c>
      <c r="J105" s="74">
        <f t="shared" si="55"/>
        <v>0</v>
      </c>
      <c r="K105" s="74">
        <f t="shared" si="55"/>
        <v>0</v>
      </c>
      <c r="L105"/>
    </row>
    <row r="106" spans="2:12" hidden="1" x14ac:dyDescent="0.3">
      <c r="D106" s="69"/>
      <c r="E106" s="69"/>
      <c r="F106" s="69"/>
      <c r="G106" s="74"/>
      <c r="H106" s="74"/>
      <c r="I106" s="74"/>
      <c r="J106" s="74"/>
      <c r="K106" s="74"/>
      <c r="L106"/>
    </row>
    <row r="107" spans="2:12" hidden="1" x14ac:dyDescent="0.3">
      <c r="B107" s="147"/>
      <c r="D107" s="69"/>
      <c r="E107" s="69"/>
      <c r="F107" s="69"/>
      <c r="G107" s="74"/>
      <c r="H107" s="74"/>
      <c r="I107" s="74"/>
      <c r="J107" s="74"/>
      <c r="K107" s="74"/>
      <c r="L107"/>
    </row>
    <row r="108" spans="2:12" collapsed="1" x14ac:dyDescent="0.3">
      <c r="B108" t="s">
        <v>307</v>
      </c>
      <c r="D108" s="69">
        <f>'Cash Flow Statement'!C14</f>
        <v>753.15</v>
      </c>
      <c r="E108" s="69">
        <f>'Cash Flow Statement'!D14</f>
        <v>0</v>
      </c>
      <c r="F108" s="69">
        <f>'Cash Flow Statement'!E14</f>
        <v>0</v>
      </c>
      <c r="G108" s="74">
        <f>F108</f>
        <v>0</v>
      </c>
      <c r="H108" s="74">
        <f t="shared" ref="H108:K108" si="56">G108</f>
        <v>0</v>
      </c>
      <c r="I108" s="74">
        <f t="shared" si="56"/>
        <v>0</v>
      </c>
      <c r="J108" s="74">
        <f t="shared" si="56"/>
        <v>0</v>
      </c>
      <c r="K108" s="74">
        <f t="shared" si="56"/>
        <v>0</v>
      </c>
      <c r="L108"/>
    </row>
    <row r="109" spans="2:12" hidden="1" x14ac:dyDescent="0.3">
      <c r="B109" s="146"/>
      <c r="D109" s="69"/>
      <c r="E109" s="69"/>
      <c r="F109" s="69"/>
      <c r="G109" s="74"/>
      <c r="H109" s="74"/>
      <c r="I109" s="74"/>
      <c r="J109" s="74"/>
      <c r="K109" s="74"/>
      <c r="L109"/>
    </row>
    <row r="110" spans="2:12" hidden="1" x14ac:dyDescent="0.3">
      <c r="D110" s="69"/>
      <c r="E110" s="69"/>
      <c r="F110" s="69"/>
      <c r="G110" s="74"/>
      <c r="H110" s="74"/>
      <c r="I110" s="74"/>
      <c r="J110" s="74"/>
      <c r="K110" s="74"/>
      <c r="L110"/>
    </row>
    <row r="111" spans="2:12" hidden="1" x14ac:dyDescent="0.3">
      <c r="D111" s="69"/>
      <c r="E111" s="69"/>
      <c r="F111" s="69"/>
      <c r="G111" s="74"/>
      <c r="H111" s="74"/>
      <c r="I111" s="74"/>
      <c r="J111" s="74"/>
      <c r="K111" s="74"/>
      <c r="L111"/>
    </row>
    <row r="112" spans="2:12" hidden="1" x14ac:dyDescent="0.3">
      <c r="B112" s="146"/>
      <c r="D112" s="69"/>
      <c r="E112" s="69"/>
      <c r="F112" s="69"/>
      <c r="G112" s="74"/>
      <c r="H112" s="74"/>
      <c r="I112" s="74"/>
      <c r="J112" s="74"/>
      <c r="K112" s="74"/>
      <c r="L112"/>
    </row>
    <row r="113" spans="2:12" collapsed="1" x14ac:dyDescent="0.3">
      <c r="B113" t="s">
        <v>245</v>
      </c>
      <c r="D113" s="69">
        <f>'Cash Flow Statement'!C28</f>
        <v>0</v>
      </c>
      <c r="E113" s="69">
        <f>'Cash Flow Statement'!D28</f>
        <v>34.270000000000003</v>
      </c>
      <c r="F113" s="69">
        <f>'Cash Flow Statement'!E28</f>
        <v>0</v>
      </c>
      <c r="G113" s="74">
        <f>F113</f>
        <v>0</v>
      </c>
      <c r="H113" s="74">
        <f t="shared" ref="H113:K113" si="57">G113</f>
        <v>0</v>
      </c>
      <c r="I113" s="74">
        <f t="shared" si="57"/>
        <v>0</v>
      </c>
      <c r="J113" s="74">
        <f t="shared" si="57"/>
        <v>0</v>
      </c>
      <c r="K113" s="74">
        <f t="shared" si="57"/>
        <v>0</v>
      </c>
      <c r="L113"/>
    </row>
    <row r="114" spans="2:12" hidden="1" x14ac:dyDescent="0.3">
      <c r="B114" s="146"/>
      <c r="D114" s="69"/>
      <c r="E114" s="69"/>
      <c r="F114" s="69"/>
      <c r="G114" s="74"/>
      <c r="H114" s="74"/>
      <c r="I114" s="74"/>
      <c r="J114" s="74"/>
      <c r="K114" s="74"/>
      <c r="L114"/>
    </row>
    <row r="115" spans="2:12" hidden="1" x14ac:dyDescent="0.3">
      <c r="B115" s="146"/>
      <c r="D115" s="69"/>
      <c r="E115" s="69"/>
      <c r="F115" s="69"/>
      <c r="G115" s="74"/>
      <c r="H115" s="74"/>
      <c r="I115" s="74"/>
      <c r="J115" s="74"/>
      <c r="K115" s="74"/>
      <c r="L115"/>
    </row>
    <row r="116" spans="2:12" hidden="1" x14ac:dyDescent="0.3">
      <c r="D116" s="69"/>
      <c r="E116" s="69"/>
      <c r="F116" s="69"/>
      <c r="G116" s="74"/>
      <c r="H116" s="74"/>
      <c r="I116" s="74"/>
      <c r="J116" s="74"/>
      <c r="K116" s="74"/>
      <c r="L116"/>
    </row>
    <row r="117" spans="2:12" hidden="1" x14ac:dyDescent="0.3">
      <c r="D117" s="69"/>
      <c r="E117" s="69"/>
      <c r="F117" s="69"/>
      <c r="G117" s="74"/>
      <c r="H117" s="74"/>
      <c r="I117" s="74"/>
      <c r="J117" s="74"/>
      <c r="K117" s="74"/>
      <c r="L117"/>
    </row>
    <row r="118" spans="2:12" hidden="1" x14ac:dyDescent="0.3">
      <c r="B118" s="146"/>
      <c r="D118" s="69"/>
      <c r="E118" s="69"/>
      <c r="F118" s="69"/>
      <c r="G118" s="74"/>
      <c r="H118" s="74"/>
      <c r="I118" s="74"/>
      <c r="J118" s="74"/>
      <c r="K118" s="74"/>
      <c r="L118"/>
    </row>
    <row r="119" spans="2:12" collapsed="1" x14ac:dyDescent="0.3">
      <c r="B119" s="101" t="s">
        <v>370</v>
      </c>
      <c r="D119" s="69"/>
      <c r="E119" s="69"/>
      <c r="F119" s="69"/>
      <c r="G119" s="74"/>
      <c r="H119" s="74"/>
      <c r="I119" s="74"/>
      <c r="J119" s="74"/>
      <c r="K119" s="74"/>
      <c r="L119"/>
    </row>
    <row r="120" spans="2:12" hidden="1" x14ac:dyDescent="0.3">
      <c r="B120" s="147"/>
      <c r="D120" s="69"/>
      <c r="E120" s="69"/>
      <c r="F120" s="69"/>
      <c r="G120" s="74"/>
      <c r="H120" s="74"/>
      <c r="I120" s="74"/>
      <c r="J120" s="74"/>
      <c r="K120" s="74"/>
      <c r="L120"/>
    </row>
    <row r="121" spans="2:12" hidden="1" x14ac:dyDescent="0.3">
      <c r="D121" s="69"/>
      <c r="E121" s="69"/>
      <c r="F121" s="69"/>
      <c r="G121" s="74"/>
      <c r="H121" s="74"/>
      <c r="I121" s="74"/>
      <c r="J121" s="74"/>
      <c r="K121" s="74"/>
      <c r="L121"/>
    </row>
    <row r="122" spans="2:12" hidden="1" x14ac:dyDescent="0.3">
      <c r="D122" s="69"/>
      <c r="E122" s="69"/>
      <c r="F122" s="69"/>
      <c r="G122" s="74"/>
      <c r="H122" s="74"/>
      <c r="I122" s="74"/>
      <c r="J122" s="74"/>
      <c r="K122" s="74"/>
      <c r="L122"/>
    </row>
    <row r="123" spans="2:12" hidden="1" x14ac:dyDescent="0.3">
      <c r="B123" s="146"/>
      <c r="D123" s="69"/>
      <c r="E123" s="69"/>
      <c r="F123" s="69"/>
      <c r="G123" s="74"/>
      <c r="H123" s="74"/>
      <c r="I123" s="74"/>
      <c r="J123" s="74"/>
      <c r="K123" s="74"/>
      <c r="L123"/>
    </row>
    <row r="124" spans="2:12" x14ac:dyDescent="0.3">
      <c r="B124" t="s">
        <v>236</v>
      </c>
      <c r="D124" s="69">
        <f>'Cash Flow Statement'!C16</f>
        <v>197.73</v>
      </c>
      <c r="E124" s="69">
        <f>'Cash Flow Statement'!D16</f>
        <v>100.68</v>
      </c>
      <c r="F124" s="69">
        <f>'Cash Flow Statement'!E16</f>
        <v>53.89</v>
      </c>
      <c r="G124" s="74">
        <v>0</v>
      </c>
      <c r="H124" s="74">
        <v>0</v>
      </c>
      <c r="I124" s="74">
        <v>0</v>
      </c>
      <c r="J124" s="74">
        <v>0</v>
      </c>
      <c r="K124" s="74">
        <v>0</v>
      </c>
      <c r="L124"/>
    </row>
    <row r="125" spans="2:12" x14ac:dyDescent="0.3">
      <c r="B125" t="s">
        <v>237</v>
      </c>
      <c r="D125" s="69">
        <f>'Cash Flow Statement'!C17</f>
        <v>117.42</v>
      </c>
      <c r="E125" s="69">
        <f>'Cash Flow Statement'!D17</f>
        <v>18.04</v>
      </c>
      <c r="F125" s="69">
        <f>'Cash Flow Statement'!E17</f>
        <v>-8.73</v>
      </c>
      <c r="G125" s="74">
        <v>0</v>
      </c>
      <c r="H125" s="74">
        <v>0</v>
      </c>
      <c r="I125" s="74">
        <v>0</v>
      </c>
      <c r="J125" s="74">
        <v>0</v>
      </c>
      <c r="K125" s="74">
        <v>0</v>
      </c>
      <c r="L125"/>
    </row>
    <row r="126" spans="2:12" x14ac:dyDescent="0.3">
      <c r="B126" t="s">
        <v>308</v>
      </c>
      <c r="D126" s="69">
        <f>'Cash Flow Statement'!C19</f>
        <v>15.56</v>
      </c>
      <c r="E126" s="69">
        <f>'Cash Flow Statement'!D19</f>
        <v>0</v>
      </c>
      <c r="F126" s="69">
        <f>'Cash Flow Statement'!E19</f>
        <v>0</v>
      </c>
      <c r="G126" s="74">
        <v>0</v>
      </c>
      <c r="H126" s="74">
        <v>0</v>
      </c>
      <c r="I126" s="74">
        <v>0</v>
      </c>
      <c r="J126" s="74">
        <v>0</v>
      </c>
      <c r="K126" s="74">
        <v>0</v>
      </c>
      <c r="L126"/>
    </row>
    <row r="127" spans="2:12" x14ac:dyDescent="0.3">
      <c r="B127" t="s">
        <v>246</v>
      </c>
      <c r="D127" s="69">
        <f>'Cash Flow Statement'!C29</f>
        <v>0</v>
      </c>
      <c r="E127" s="69">
        <f>'Cash Flow Statement'!D29</f>
        <v>23.05</v>
      </c>
      <c r="F127" s="69">
        <f>'Cash Flow Statement'!E29</f>
        <v>0</v>
      </c>
      <c r="G127" s="74">
        <v>0</v>
      </c>
      <c r="H127" s="74">
        <v>0</v>
      </c>
      <c r="I127" s="74">
        <v>0</v>
      </c>
      <c r="J127" s="74">
        <v>0</v>
      </c>
      <c r="K127" s="74">
        <v>0</v>
      </c>
      <c r="L127"/>
    </row>
    <row r="128" spans="2:12" x14ac:dyDescent="0.3">
      <c r="B128" t="s">
        <v>238</v>
      </c>
      <c r="D128" s="69">
        <f>'Cash Flow Statement'!C18</f>
        <v>4.26</v>
      </c>
      <c r="E128" s="69">
        <f>'Cash Flow Statement'!D18</f>
        <v>0</v>
      </c>
      <c r="F128" s="69">
        <f>'Cash Flow Statement'!E18</f>
        <v>0</v>
      </c>
      <c r="G128" s="74">
        <v>0</v>
      </c>
      <c r="H128" s="74">
        <v>0</v>
      </c>
      <c r="I128" s="74">
        <v>0</v>
      </c>
      <c r="J128" s="74">
        <v>0</v>
      </c>
      <c r="K128" s="74">
        <v>0</v>
      </c>
      <c r="L128"/>
    </row>
    <row r="129" spans="2:12" x14ac:dyDescent="0.3">
      <c r="B129" s="21" t="s">
        <v>371</v>
      </c>
      <c r="D129" s="69"/>
      <c r="E129" s="69"/>
      <c r="F129" s="69"/>
      <c r="G129" s="74"/>
      <c r="H129" s="74"/>
      <c r="I129" s="74"/>
      <c r="J129" s="74"/>
      <c r="K129" s="74"/>
      <c r="L129"/>
    </row>
    <row r="130" spans="2:12" x14ac:dyDescent="0.3">
      <c r="B130" t="s">
        <v>240</v>
      </c>
      <c r="D130" s="69">
        <f>'Cash Flow Statement'!C21</f>
        <v>1926.46</v>
      </c>
      <c r="E130" s="69">
        <f>'Cash Flow Statement'!D21</f>
        <v>912.77</v>
      </c>
      <c r="F130" s="69">
        <f>'Cash Flow Statement'!E21</f>
        <v>1123.43</v>
      </c>
      <c r="G130" s="74">
        <v>0</v>
      </c>
      <c r="H130" s="74">
        <v>0</v>
      </c>
      <c r="I130" s="74">
        <v>0</v>
      </c>
      <c r="J130" s="74">
        <v>0</v>
      </c>
      <c r="K130" s="74">
        <v>0</v>
      </c>
      <c r="L130"/>
    </row>
    <row r="131" spans="2:12" x14ac:dyDescent="0.3">
      <c r="B131" t="s">
        <v>239</v>
      </c>
      <c r="D131" s="69">
        <f>'Cash Flow Statement'!C20</f>
        <v>4.08</v>
      </c>
      <c r="E131" s="69">
        <f>'Cash Flow Statement'!D20</f>
        <v>0.72</v>
      </c>
      <c r="F131" s="69">
        <f>'Cash Flow Statement'!E20</f>
        <v>2.4900000000000002</v>
      </c>
      <c r="G131" s="74">
        <v>0</v>
      </c>
      <c r="H131" s="74">
        <v>0</v>
      </c>
      <c r="I131" s="74">
        <v>0</v>
      </c>
      <c r="J131" s="74">
        <v>0</v>
      </c>
      <c r="K131" s="74">
        <v>0</v>
      </c>
      <c r="L131"/>
    </row>
    <row r="132" spans="2:12" x14ac:dyDescent="0.3">
      <c r="B132" t="s">
        <v>242</v>
      </c>
      <c r="D132" s="69">
        <f>'Cash Flow Statement'!C25</f>
        <v>-9.42</v>
      </c>
      <c r="E132" s="69">
        <f>'Cash Flow Statement'!D25</f>
        <v>-11.72</v>
      </c>
      <c r="F132" s="69">
        <f>'Cash Flow Statement'!E25</f>
        <v>22.75</v>
      </c>
      <c r="G132" s="74">
        <v>0</v>
      </c>
      <c r="H132" s="74">
        <v>0</v>
      </c>
      <c r="I132" s="74">
        <v>0</v>
      </c>
      <c r="J132" s="74">
        <v>0</v>
      </c>
      <c r="K132" s="74">
        <v>0</v>
      </c>
      <c r="L132"/>
    </row>
    <row r="133" spans="2:12" x14ac:dyDescent="0.3">
      <c r="B133" s="20" t="s">
        <v>372</v>
      </c>
      <c r="D133" s="69"/>
      <c r="E133" s="69"/>
      <c r="F133" s="69"/>
      <c r="G133" s="74"/>
      <c r="H133" s="74"/>
      <c r="I133" s="74"/>
      <c r="J133" s="74"/>
      <c r="K133" s="74"/>
      <c r="L133"/>
    </row>
    <row r="134" spans="2:12" x14ac:dyDescent="0.3">
      <c r="B134" t="s">
        <v>309</v>
      </c>
      <c r="D134" s="69">
        <f>'Cash Flow Statement'!C22</f>
        <v>-92.34</v>
      </c>
      <c r="E134" s="69">
        <f>'Cash Flow Statement'!D22</f>
        <v>0</v>
      </c>
      <c r="F134" s="69">
        <f>'Cash Flow Statement'!E22</f>
        <v>0</v>
      </c>
      <c r="G134" s="74">
        <v>0</v>
      </c>
      <c r="H134" s="74">
        <v>0</v>
      </c>
      <c r="I134" s="74">
        <v>0</v>
      </c>
      <c r="J134" s="74">
        <v>0</v>
      </c>
      <c r="K134" s="74">
        <v>0</v>
      </c>
      <c r="L134"/>
    </row>
    <row r="135" spans="2:12" x14ac:dyDescent="0.3">
      <c r="B135" t="s">
        <v>243</v>
      </c>
      <c r="D135" s="69">
        <f>'Cash Flow Statement'!C26</f>
        <v>0</v>
      </c>
      <c r="E135" s="69">
        <f>'Cash Flow Statement'!D26</f>
        <v>0</v>
      </c>
      <c r="F135" s="69">
        <f>'Cash Flow Statement'!E26</f>
        <v>-34.43</v>
      </c>
      <c r="G135" s="74">
        <v>0</v>
      </c>
      <c r="H135" s="74">
        <v>0</v>
      </c>
      <c r="I135" s="74">
        <v>0</v>
      </c>
      <c r="J135" s="74">
        <v>0</v>
      </c>
      <c r="K135" s="74">
        <v>0</v>
      </c>
      <c r="L135"/>
    </row>
    <row r="136" spans="2:12" x14ac:dyDescent="0.3">
      <c r="B136" t="s">
        <v>244</v>
      </c>
      <c r="D136" s="69">
        <f>'Cash Flow Statement'!C27</f>
        <v>2.4500000000000002</v>
      </c>
      <c r="E136" s="69">
        <f>'Cash Flow Statement'!D27</f>
        <v>0.1</v>
      </c>
      <c r="F136" s="69">
        <f>'Cash Flow Statement'!E27</f>
        <v>-0.42</v>
      </c>
      <c r="G136" s="74">
        <v>0</v>
      </c>
      <c r="H136" s="74">
        <v>0</v>
      </c>
      <c r="I136" s="74">
        <v>0</v>
      </c>
      <c r="J136" s="74">
        <v>0</v>
      </c>
      <c r="K136" s="74">
        <v>0</v>
      </c>
      <c r="L136"/>
    </row>
    <row r="137" spans="2:12" x14ac:dyDescent="0.3">
      <c r="B137" t="s">
        <v>247</v>
      </c>
      <c r="D137" s="69">
        <f>'Cash Flow Statement'!C30</f>
        <v>-15.61</v>
      </c>
      <c r="E137" s="69">
        <f>'Cash Flow Statement'!D30</f>
        <v>-22.09</v>
      </c>
      <c r="F137" s="69">
        <f>'Cash Flow Statement'!E30</f>
        <v>-6.72</v>
      </c>
      <c r="G137" s="74">
        <v>0</v>
      </c>
      <c r="H137" s="74">
        <v>0</v>
      </c>
      <c r="I137" s="74">
        <v>0</v>
      </c>
      <c r="J137" s="74">
        <v>0</v>
      </c>
      <c r="K137" s="74">
        <v>0</v>
      </c>
      <c r="L137"/>
    </row>
    <row r="138" spans="2:12" x14ac:dyDescent="0.3">
      <c r="B138" s="20" t="s">
        <v>373</v>
      </c>
      <c r="D138" s="69"/>
      <c r="E138" s="69"/>
      <c r="F138" s="69"/>
      <c r="G138" s="74"/>
      <c r="H138" s="74"/>
      <c r="I138" s="74"/>
      <c r="J138" s="74"/>
      <c r="K138" s="74"/>
      <c r="L138"/>
    </row>
    <row r="139" spans="2:12" x14ac:dyDescent="0.3">
      <c r="B139" t="s">
        <v>248</v>
      </c>
      <c r="D139" s="69">
        <f>'Cash Flow Statement'!C31</f>
        <v>0</v>
      </c>
      <c r="E139" s="69">
        <f>'Cash Flow Statement'!D31</f>
        <v>-2.92</v>
      </c>
      <c r="F139" s="69">
        <f>'Cash Flow Statement'!E31</f>
        <v>-50.12</v>
      </c>
      <c r="G139" s="74">
        <v>0</v>
      </c>
      <c r="H139" s="74">
        <v>0</v>
      </c>
      <c r="I139" s="74">
        <v>0</v>
      </c>
      <c r="J139" s="74">
        <v>0</v>
      </c>
      <c r="K139" s="74">
        <v>0</v>
      </c>
      <c r="L139"/>
    </row>
    <row r="140" spans="2:12" x14ac:dyDescent="0.3">
      <c r="B140" t="s">
        <v>249</v>
      </c>
      <c r="D140" s="69">
        <f>'Cash Flow Statement'!C32</f>
        <v>-354.71</v>
      </c>
      <c r="E140" s="69">
        <f>'Cash Flow Statement'!D32</f>
        <v>-357.55</v>
      </c>
      <c r="F140" s="69">
        <f>'Cash Flow Statement'!E32</f>
        <v>-442.5</v>
      </c>
      <c r="G140" s="74">
        <v>0</v>
      </c>
      <c r="H140" s="74">
        <v>0</v>
      </c>
      <c r="I140" s="74">
        <v>0</v>
      </c>
      <c r="J140" s="74">
        <v>0</v>
      </c>
      <c r="K140" s="74">
        <v>0</v>
      </c>
      <c r="L140"/>
    </row>
    <row r="141" spans="2:12" x14ac:dyDescent="0.3">
      <c r="B141" t="s">
        <v>250</v>
      </c>
      <c r="D141" s="69">
        <f>'Cash Flow Statement'!C33</f>
        <v>-11.25</v>
      </c>
      <c r="E141" s="69">
        <f>'Cash Flow Statement'!D33</f>
        <v>-14.3</v>
      </c>
      <c r="F141" s="69">
        <f>'Cash Flow Statement'!E33</f>
        <v>-0.85</v>
      </c>
      <c r="G141" s="74">
        <v>0</v>
      </c>
      <c r="H141" s="74">
        <v>0</v>
      </c>
      <c r="I141" s="74">
        <v>0</v>
      </c>
      <c r="J141" s="74">
        <v>0</v>
      </c>
      <c r="K141" s="74">
        <v>0</v>
      </c>
      <c r="L141"/>
    </row>
    <row r="142" spans="2:12" x14ac:dyDescent="0.3">
      <c r="B142" t="s">
        <v>251</v>
      </c>
      <c r="D142" s="69">
        <f>'Cash Flow Statement'!C34</f>
        <v>-5.33</v>
      </c>
      <c r="E142" s="69">
        <f>'Cash Flow Statement'!D34</f>
        <v>-5.07</v>
      </c>
      <c r="F142" s="69">
        <f>'Cash Flow Statement'!E34</f>
        <v>-5.72</v>
      </c>
      <c r="G142" s="74">
        <v>0</v>
      </c>
      <c r="H142" s="74">
        <v>0</v>
      </c>
      <c r="I142" s="74">
        <v>0</v>
      </c>
      <c r="J142" s="74">
        <v>0</v>
      </c>
      <c r="K142" s="74">
        <v>0</v>
      </c>
      <c r="L142"/>
    </row>
    <row r="143" spans="2:12" x14ac:dyDescent="0.3">
      <c r="B143" t="s">
        <v>121</v>
      </c>
      <c r="D143" s="69">
        <f>'Cash Flow Statement'!C24</f>
        <v>98.3</v>
      </c>
      <c r="E143" s="69">
        <f>'Cash Flow Statement'!D24</f>
        <v>85.44</v>
      </c>
      <c r="F143" s="69">
        <f>'Cash Flow Statement'!E24</f>
        <v>94.45</v>
      </c>
      <c r="G143" s="74">
        <v>0</v>
      </c>
      <c r="H143" s="74">
        <v>0</v>
      </c>
      <c r="I143" s="74">
        <v>0</v>
      </c>
      <c r="J143" s="74">
        <v>0</v>
      </c>
      <c r="K143" s="74">
        <v>0</v>
      </c>
      <c r="L143"/>
    </row>
    <row r="144" spans="2:12" x14ac:dyDescent="0.3">
      <c r="B144" t="s">
        <v>241</v>
      </c>
      <c r="D144" s="69">
        <f>'Cash Flow Statement'!C23</f>
        <v>131.91999999999999</v>
      </c>
      <c r="E144" s="69">
        <f>'Cash Flow Statement'!D23</f>
        <v>133.47</v>
      </c>
      <c r="F144" s="69">
        <f>'Cash Flow Statement'!E23</f>
        <v>166.94</v>
      </c>
      <c r="G144" s="74">
        <v>0</v>
      </c>
      <c r="H144" s="74">
        <v>0</v>
      </c>
      <c r="I144" s="74">
        <v>0</v>
      </c>
      <c r="J144" s="74">
        <v>0</v>
      </c>
      <c r="K144" s="74">
        <v>0</v>
      </c>
      <c r="L144"/>
    </row>
    <row r="145" spans="2:12" hidden="1" x14ac:dyDescent="0.3">
      <c r="D145" s="69"/>
      <c r="E145" s="69"/>
      <c r="F145" s="69"/>
      <c r="G145" s="74"/>
      <c r="H145" s="74"/>
      <c r="I145" s="74"/>
      <c r="J145" s="74"/>
      <c r="K145" s="74"/>
      <c r="L145"/>
    </row>
    <row r="146" spans="2:12" ht="15" hidden="1" customHeight="1" x14ac:dyDescent="0.3">
      <c r="D146" s="69"/>
      <c r="E146" s="69"/>
      <c r="F146" s="69"/>
      <c r="G146" s="74"/>
      <c r="H146" s="74"/>
      <c r="I146" s="74"/>
      <c r="J146" s="74"/>
      <c r="K146" s="74"/>
      <c r="L146"/>
    </row>
    <row r="147" spans="2:12" hidden="1" x14ac:dyDescent="0.3">
      <c r="B147" s="146"/>
      <c r="D147" s="69"/>
      <c r="E147" s="69"/>
      <c r="F147" s="69"/>
      <c r="G147" s="74"/>
      <c r="H147" s="74"/>
      <c r="I147" s="74"/>
      <c r="J147" s="74"/>
      <c r="K147" s="74"/>
      <c r="L147"/>
    </row>
    <row r="148" spans="2:12" hidden="1" x14ac:dyDescent="0.3">
      <c r="B148" s="97" t="s">
        <v>122</v>
      </c>
      <c r="D148" s="69"/>
      <c r="E148" s="69"/>
      <c r="F148" s="69"/>
      <c r="G148" s="74"/>
      <c r="H148" s="74"/>
      <c r="I148" s="74"/>
      <c r="J148" s="74"/>
      <c r="K148" s="74"/>
      <c r="L148"/>
    </row>
    <row r="149" spans="2:12" hidden="1" x14ac:dyDescent="0.3">
      <c r="B149" s="97" t="s">
        <v>123</v>
      </c>
      <c r="D149" s="69"/>
      <c r="E149" s="69"/>
      <c r="F149" s="69"/>
      <c r="G149" s="74"/>
      <c r="H149" s="74"/>
      <c r="I149" s="74"/>
      <c r="J149" s="74"/>
      <c r="K149" s="74"/>
      <c r="L149"/>
    </row>
    <row r="150" spans="2:12" hidden="1" x14ac:dyDescent="0.3">
      <c r="B150" s="96" t="s">
        <v>124</v>
      </c>
      <c r="D150" s="69"/>
      <c r="E150" s="69"/>
      <c r="F150" s="69"/>
      <c r="G150" s="74"/>
      <c r="H150" s="74"/>
      <c r="I150" s="74"/>
      <c r="J150" s="74"/>
      <c r="K150" s="74"/>
      <c r="L150"/>
    </row>
    <row r="151" spans="2:12" hidden="1" x14ac:dyDescent="0.3">
      <c r="D151" s="69"/>
      <c r="E151" s="69"/>
      <c r="F151" s="69"/>
      <c r="G151" s="74"/>
      <c r="H151" s="74"/>
      <c r="I151" s="74"/>
      <c r="J151" s="74"/>
      <c r="K151" s="74"/>
      <c r="L151"/>
    </row>
    <row r="152" spans="2:12" hidden="1" x14ac:dyDescent="0.3">
      <c r="B152" t="s">
        <v>125</v>
      </c>
      <c r="D152" s="69"/>
      <c r="E152" s="69"/>
      <c r="F152" s="69"/>
      <c r="G152" s="74"/>
      <c r="H152" s="74"/>
      <c r="I152" s="74"/>
      <c r="J152" s="74"/>
      <c r="K152" s="74"/>
      <c r="L152"/>
    </row>
    <row r="153" spans="2:12" hidden="1" x14ac:dyDescent="0.3">
      <c r="B153" s="97" t="s">
        <v>126</v>
      </c>
      <c r="D153" s="69"/>
      <c r="E153" s="69"/>
      <c r="F153" s="69"/>
      <c r="G153" s="90"/>
      <c r="H153" s="90"/>
      <c r="I153" s="90"/>
      <c r="J153" s="90"/>
      <c r="L153"/>
    </row>
    <row r="154" spans="2:12" collapsed="1" x14ac:dyDescent="0.3">
      <c r="B154" s="98" t="s">
        <v>127</v>
      </c>
      <c r="C154" s="4"/>
      <c r="D154" s="99">
        <f>SUM(D88,D91:D113,D124:D128,D130:D132,D134:D137,D139:D144)</f>
        <v>-659.93999999999846</v>
      </c>
      <c r="E154" s="99">
        <f t="shared" ref="E154:K154" si="58">SUM(E88,E91:E113,E124:E128,E130:E132,E134:E137,E139:E144)</f>
        <v>502.60000000000298</v>
      </c>
      <c r="F154" s="99">
        <f t="shared" si="58"/>
        <v>484.97999999999826</v>
      </c>
      <c r="G154" s="99">
        <f>SUM(G88,G91:G113,G124:G128,G130:G132,G134:G137,G139:G144)</f>
        <v>806.26773599999706</v>
      </c>
      <c r="H154" s="99">
        <f t="shared" si="58"/>
        <v>1220.7647513775028</v>
      </c>
      <c r="I154" s="99">
        <f t="shared" si="58"/>
        <v>2081.4407136544455</v>
      </c>
      <c r="J154" s="99">
        <f t="shared" si="58"/>
        <v>3220.6549119092579</v>
      </c>
      <c r="K154" s="99">
        <f t="shared" si="58"/>
        <v>4655.3698058626187</v>
      </c>
      <c r="L154"/>
    </row>
    <row r="155" spans="2:12" hidden="1" x14ac:dyDescent="0.3">
      <c r="D155" s="69"/>
      <c r="E155" s="69"/>
      <c r="F155" s="69"/>
      <c r="G155" s="90"/>
      <c r="H155" s="90"/>
      <c r="I155" s="90"/>
      <c r="J155" s="90"/>
      <c r="L155"/>
    </row>
    <row r="156" spans="2:12" x14ac:dyDescent="0.3">
      <c r="D156" s="69"/>
      <c r="E156" s="69"/>
      <c r="F156" s="69"/>
      <c r="G156" s="90"/>
      <c r="H156" s="90"/>
      <c r="I156" s="90"/>
      <c r="J156" s="90"/>
      <c r="L156"/>
    </row>
    <row r="157" spans="2:12" collapsed="1" x14ac:dyDescent="0.3">
      <c r="B157" s="100" t="s">
        <v>128</v>
      </c>
      <c r="D157" s="69"/>
      <c r="E157" s="69"/>
      <c r="F157" s="69"/>
      <c r="G157" s="90"/>
      <c r="H157" s="90"/>
      <c r="I157" s="90"/>
      <c r="J157" s="90"/>
      <c r="L157"/>
    </row>
    <row r="158" spans="2:12" x14ac:dyDescent="0.3">
      <c r="B158" t="s">
        <v>254</v>
      </c>
      <c r="D158" s="69">
        <f>'Cash Flow Statement'!C37</f>
        <v>-2.59</v>
      </c>
      <c r="E158" s="69">
        <f>'Cash Flow Statement'!D37</f>
        <v>-2.2799999999999998</v>
      </c>
      <c r="F158" s="69">
        <f>'Cash Flow Statement'!E37</f>
        <v>-9.0299999999999994</v>
      </c>
      <c r="G158" s="74">
        <f>'Schedule Sheet'!G162*-1</f>
        <v>-10.785878356164389</v>
      </c>
      <c r="H158" s="74">
        <f>'Schedule Sheet'!H162*-1</f>
        <v>-13.430696383561646</v>
      </c>
      <c r="I158" s="74">
        <f>'Schedule Sheet'!I162*-1</f>
        <v>-19.832816012054799</v>
      </c>
      <c r="J158" s="74">
        <f>'Schedule Sheet'!J162*-1</f>
        <v>-29.488325415057531</v>
      </c>
      <c r="K158" s="74">
        <f>'Schedule Sheet'!K162*-1</f>
        <v>-44.846766749162938</v>
      </c>
      <c r="L158"/>
    </row>
    <row r="159" spans="2:12" x14ac:dyDescent="0.3">
      <c r="B159" t="s">
        <v>255</v>
      </c>
      <c r="D159" s="69">
        <f>'Cash Flow Statement'!C38</f>
        <v>-460.8</v>
      </c>
      <c r="E159" s="69">
        <f>'Cash Flow Statement'!D38</f>
        <v>-400.35</v>
      </c>
      <c r="F159" s="69">
        <f>'Cash Flow Statement'!E38</f>
        <v>-948.57</v>
      </c>
      <c r="G159" s="74">
        <f>'Schedule Sheet'!G163*-1</f>
        <v>-1316.6378356164387</v>
      </c>
      <c r="H159" s="74">
        <f>'Schedule Sheet'!H163*-1</f>
        <v>-639.6175919999996</v>
      </c>
      <c r="I159" s="74">
        <f>'Schedule Sheet'!I163*-1</f>
        <v>-1425.3046140295901</v>
      </c>
      <c r="J159" s="74">
        <f>'Schedule Sheet'!J163*-1</f>
        <v>-2218.9072517010409</v>
      </c>
      <c r="K159" s="74">
        <f>'Schedule Sheet'!K163*-1</f>
        <v>-3587.741339933038</v>
      </c>
      <c r="L159"/>
    </row>
    <row r="160" spans="2:12" x14ac:dyDescent="0.3">
      <c r="B160" t="s">
        <v>256</v>
      </c>
      <c r="D160" s="69">
        <f>'Cash Flow Statement'!C39</f>
        <v>-319.36</v>
      </c>
      <c r="E160" s="69">
        <f>'Cash Flow Statement'!D39</f>
        <v>-266.55</v>
      </c>
      <c r="F160" s="69">
        <f>'Cash Flow Statement'!E39</f>
        <v>-317.97000000000003</v>
      </c>
      <c r="G160" s="74">
        <f>'Schedule Sheet'!G165*-1</f>
        <v>-171.32547199999999</v>
      </c>
      <c r="H160" s="74">
        <f>'Schedule Sheet'!H165*-1</f>
        <v>-588.26450160000013</v>
      </c>
      <c r="I160" s="74">
        <f>'Schedule Sheet'!I165*-1</f>
        <v>-357.09778884000025</v>
      </c>
      <c r="J160" s="74">
        <f>'Schedule Sheet'!J165*-1</f>
        <v>-349.47954963167967</v>
      </c>
      <c r="K160" s="74">
        <f>'Schedule Sheet'!K165*-1</f>
        <v>-255.29986378874855</v>
      </c>
      <c r="L160"/>
    </row>
    <row r="161" spans="2:16" x14ac:dyDescent="0.3">
      <c r="B161" t="s">
        <v>257</v>
      </c>
      <c r="C161" s="25"/>
      <c r="D161" s="69">
        <f>'Cash Flow Statement'!C40</f>
        <v>-947.47</v>
      </c>
      <c r="E161" s="69">
        <f>'Cash Flow Statement'!D40</f>
        <v>-167.42</v>
      </c>
      <c r="F161" s="69">
        <f>'Cash Flow Statement'!E40</f>
        <v>-29.93</v>
      </c>
      <c r="G161" s="74">
        <f>'Schedule Sheet'!G164*-1</f>
        <v>-300.73868000000039</v>
      </c>
      <c r="H161" s="74">
        <f>'Schedule Sheet'!H164*-1</f>
        <v>-370.26126720000002</v>
      </c>
      <c r="I161" s="74">
        <f>'Schedule Sheet'!I164*-1</f>
        <v>-714.1955776800005</v>
      </c>
      <c r="J161" s="74">
        <f>'Schedule Sheet'!J164*-1</f>
        <v>-698.95909926335935</v>
      </c>
      <c r="K161" s="74">
        <f>'Schedule Sheet'!K164*-1</f>
        <v>-510.59972757749711</v>
      </c>
      <c r="L161"/>
    </row>
    <row r="162" spans="2:16" x14ac:dyDescent="0.3">
      <c r="B162" t="s">
        <v>258</v>
      </c>
      <c r="C162" s="20"/>
      <c r="D162" s="69">
        <f>'Cash Flow Statement'!C41</f>
        <v>35.880000000000003</v>
      </c>
      <c r="E162" s="69">
        <f>'Cash Flow Statement'!D41</f>
        <v>273.58</v>
      </c>
      <c r="F162" s="69">
        <f>'Cash Flow Statement'!E41</f>
        <v>431.24</v>
      </c>
      <c r="G162" s="74">
        <f>'Schedule Sheet'!G168</f>
        <v>591.80905205479485</v>
      </c>
      <c r="H162" s="74">
        <f>'Schedule Sheet'!H168</f>
        <v>706.29692712328779</v>
      </c>
      <c r="I162" s="74">
        <f>'Schedule Sheet'!I168</f>
        <v>885.83137344657553</v>
      </c>
      <c r="J162" s="74">
        <f>'Schedule Sheet'!J168</f>
        <v>1068.5056173856437</v>
      </c>
      <c r="K162" s="74">
        <f>'Schedule Sheet'!K168</f>
        <v>1246.6611757897635</v>
      </c>
      <c r="L162" s="20"/>
      <c r="M162" s="158"/>
      <c r="N162" s="158"/>
      <c r="O162" s="20"/>
      <c r="P162" s="20"/>
    </row>
    <row r="163" spans="2:16" x14ac:dyDescent="0.3">
      <c r="B163" t="s">
        <v>259</v>
      </c>
      <c r="D163" s="69">
        <f>'Cash Flow Statement'!C42</f>
        <v>-79.13</v>
      </c>
      <c r="E163" s="69">
        <f>'Cash Flow Statement'!D42</f>
        <v>-222.24</v>
      </c>
      <c r="F163" s="69">
        <f>'Cash Flow Statement'!E42</f>
        <v>502.99</v>
      </c>
      <c r="G163" s="73">
        <f>'Schedule Sheet'!G170</f>
        <v>648.97729600000025</v>
      </c>
      <c r="H163" s="73">
        <f>'Schedule Sheet'!H170</f>
        <v>490.91267231999973</v>
      </c>
      <c r="I163" s="73">
        <f>'Schedule Sheet'!I170</f>
        <v>888.93894384720079</v>
      </c>
      <c r="J163" s="73">
        <f>'Schedule Sheet'!J170</f>
        <v>1267.2736527510719</v>
      </c>
      <c r="K163" s="73">
        <f>'Schedule Sheet'!K170</f>
        <v>1528.1817868025846</v>
      </c>
      <c r="L163"/>
    </row>
    <row r="164" spans="2:16" s="20" customFormat="1" x14ac:dyDescent="0.3">
      <c r="B164" t="s">
        <v>260</v>
      </c>
      <c r="C164"/>
      <c r="D164" s="69">
        <f>'Cash Flow Statement'!C43</f>
        <v>235.69</v>
      </c>
      <c r="E164" s="69">
        <f>'Cash Flow Statement'!D43</f>
        <v>187.56</v>
      </c>
      <c r="F164" s="69">
        <f>'Cash Flow Statement'!E43</f>
        <v>517.86</v>
      </c>
      <c r="G164" s="74">
        <f>'Schedule Sheet'!G171</f>
        <v>565.2732080000003</v>
      </c>
      <c r="H164" s="74">
        <f>'Schedule Sheet'!H171</f>
        <v>698.99675460000026</v>
      </c>
      <c r="I164" s="74">
        <f>'Schedule Sheet'!I171</f>
        <v>974.83645730399985</v>
      </c>
      <c r="J164" s="74">
        <f>'Schedule Sheet'!J171</f>
        <v>1358.6960402303998</v>
      </c>
      <c r="K164" s="74">
        <f>'Schedule Sheet'!K171</f>
        <v>1928.2476168732674</v>
      </c>
      <c r="L164"/>
      <c r="M164" s="2"/>
      <c r="N164" s="2"/>
      <c r="O164"/>
      <c r="P164"/>
    </row>
    <row r="165" spans="2:16" x14ac:dyDescent="0.3">
      <c r="B165" t="s">
        <v>261</v>
      </c>
      <c r="D165" s="69">
        <f>'Cash Flow Statement'!C44</f>
        <v>24.22</v>
      </c>
      <c r="E165" s="69">
        <f>'Cash Flow Statement'!D44</f>
        <v>33.43</v>
      </c>
      <c r="F165" s="69">
        <f>'Cash Flow Statement'!E44</f>
        <v>73.8</v>
      </c>
      <c r="G165" s="74">
        <f>'Schedule Sheet'!G169</f>
        <v>112.16591200000002</v>
      </c>
      <c r="H165" s="74">
        <f>'Schedule Sheet'!H169</f>
        <v>98.044083600000022</v>
      </c>
      <c r="I165" s="74">
        <f>'Schedule Sheet'!I169</f>
        <v>144.779556888</v>
      </c>
      <c r="J165" s="74">
        <f>'Schedule Sheet'!J169</f>
        <v>215.26477552991997</v>
      </c>
      <c r="K165" s="74">
        <f>'Schedule Sheet'!K169</f>
        <v>327.3813972688896</v>
      </c>
      <c r="L165"/>
    </row>
    <row r="166" spans="2:16" x14ac:dyDescent="0.3">
      <c r="B166" s="20" t="s">
        <v>262</v>
      </c>
      <c r="D166" s="69">
        <f>D154+SUM(D158:D165)</f>
        <v>-2173.4999999999982</v>
      </c>
      <c r="E166" s="69">
        <f>E154+SUM(E158:E165)</f>
        <v>-61.669999999997117</v>
      </c>
      <c r="F166" s="69">
        <f>F154+SUM(F158:F165)</f>
        <v>705.36999999999807</v>
      </c>
      <c r="G166" s="69">
        <f>G154+SUM(G158:G165)</f>
        <v>925.00533808218904</v>
      </c>
      <c r="H166" s="69">
        <f t="shared" ref="H166" si="59">H154+SUM(H158:H165)</f>
        <v>1603.4411318372292</v>
      </c>
      <c r="I166" s="69">
        <f t="shared" ref="I166" si="60">I154+SUM(I158:I165)</f>
        <v>2459.3962485785764</v>
      </c>
      <c r="J166" s="69">
        <f t="shared" ref="J166" si="61">J154+SUM(J158:J165)</f>
        <v>3833.5607717951557</v>
      </c>
      <c r="K166" s="69">
        <f t="shared" ref="K166" si="62">K154+SUM(K158:K165)</f>
        <v>5287.3540845486777</v>
      </c>
      <c r="L166"/>
    </row>
    <row r="167" spans="2:16" x14ac:dyDescent="0.3">
      <c r="D167" s="69"/>
      <c r="E167" s="69"/>
      <c r="F167" s="69"/>
      <c r="G167" s="74"/>
      <c r="H167" s="74"/>
      <c r="I167" s="74"/>
      <c r="J167" s="74"/>
      <c r="K167" s="74"/>
      <c r="L167"/>
    </row>
    <row r="168" spans="2:16" x14ac:dyDescent="0.3">
      <c r="B168" s="100" t="s">
        <v>129</v>
      </c>
      <c r="D168" s="69">
        <f>'Cash Flow Statement'!C46</f>
        <v>15.58</v>
      </c>
      <c r="E168" s="69">
        <f>'Cash Flow Statement'!D46</f>
        <v>80.64</v>
      </c>
      <c r="F168" s="69">
        <f>'Cash Flow Statement'!E46</f>
        <v>-179</v>
      </c>
      <c r="G168" s="74">
        <v>0</v>
      </c>
      <c r="H168" s="74">
        <v>0</v>
      </c>
      <c r="I168" s="74">
        <v>0</v>
      </c>
      <c r="J168" s="74">
        <v>0</v>
      </c>
      <c r="K168" s="74">
        <v>0</v>
      </c>
      <c r="L168"/>
    </row>
    <row r="169" spans="2:16" x14ac:dyDescent="0.3">
      <c r="B169" s="81" t="s">
        <v>130</v>
      </c>
      <c r="C169" s="4"/>
      <c r="D169" s="99">
        <f>D166+D168</f>
        <v>-2157.9199999999983</v>
      </c>
      <c r="E169" s="99">
        <f t="shared" ref="E169:F169" si="63">E166+E168</f>
        <v>18.970000000002884</v>
      </c>
      <c r="F169" s="99">
        <f t="shared" si="63"/>
        <v>526.36999999999807</v>
      </c>
      <c r="G169" s="99">
        <f t="shared" ref="G169" si="64">G166+G168</f>
        <v>925.00533808218904</v>
      </c>
      <c r="H169" s="99">
        <f t="shared" ref="H169" si="65">H166+H168</f>
        <v>1603.4411318372292</v>
      </c>
      <c r="I169" s="99">
        <f t="shared" ref="I169" si="66">I166+I168</f>
        <v>2459.3962485785764</v>
      </c>
      <c r="J169" s="99">
        <f t="shared" ref="J169" si="67">J166+J168</f>
        <v>3833.5607717951557</v>
      </c>
      <c r="K169" s="99">
        <f t="shared" ref="K169" si="68">K166+K168</f>
        <v>5287.3540845486777</v>
      </c>
      <c r="L169"/>
    </row>
    <row r="170" spans="2:16" x14ac:dyDescent="0.3">
      <c r="D170" s="25"/>
      <c r="E170" s="25"/>
      <c r="F170" s="25"/>
      <c r="G170" s="25"/>
      <c r="H170" s="25"/>
      <c r="I170" s="25"/>
      <c r="J170" s="25"/>
      <c r="K170" s="25"/>
      <c r="L170"/>
    </row>
    <row r="171" spans="2:16" x14ac:dyDescent="0.3">
      <c r="B171" s="21" t="s">
        <v>131</v>
      </c>
      <c r="G171" s="90"/>
      <c r="H171" s="90"/>
      <c r="I171" s="90"/>
      <c r="J171" s="90"/>
      <c r="L171"/>
    </row>
    <row r="172" spans="2:16" x14ac:dyDescent="0.3">
      <c r="B172" t="s">
        <v>266</v>
      </c>
      <c r="D172" s="25">
        <f>'Cash Flow Statement'!C50</f>
        <v>-245.16</v>
      </c>
      <c r="E172" s="25">
        <f>'Cash Flow Statement'!D50</f>
        <v>-65.78</v>
      </c>
      <c r="F172" s="25">
        <f>'Cash Flow Statement'!E50</f>
        <v>-181.66</v>
      </c>
      <c r="G172" s="74">
        <f>('Schedule Sheet'!G42+'Schedule Sheet'!G54)*-1</f>
        <v>-295.6315032</v>
      </c>
      <c r="H172" s="74">
        <f>('Schedule Sheet'!H42+'Schedule Sheet'!H54)*-1</f>
        <v>-403.47999516000004</v>
      </c>
      <c r="I172" s="74">
        <f>('Schedule Sheet'!I42+'Schedule Sheet'!I54)*-1</f>
        <v>-562.73750773680001</v>
      </c>
      <c r="J172" s="74">
        <f>('Schedule Sheet'!J42+'Schedule Sheet'!J54)*-1</f>
        <v>-799.52876081971203</v>
      </c>
      <c r="K172" s="74">
        <f>('Schedule Sheet'!K42+'Schedule Sheet'!K54)*-1</f>
        <v>-1159.6482978154907</v>
      </c>
      <c r="L172"/>
    </row>
    <row r="173" spans="2:16" x14ac:dyDescent="0.3">
      <c r="B173" t="s">
        <v>267</v>
      </c>
      <c r="D173" s="25">
        <f>'Cash Flow Statement'!C51</f>
        <v>1.81</v>
      </c>
      <c r="E173" s="25">
        <f>'Cash Flow Statement'!D51</f>
        <v>0.31</v>
      </c>
      <c r="F173" s="25">
        <f>'Cash Flow Statement'!E51</f>
        <v>1.41</v>
      </c>
      <c r="G173" s="74">
        <v>0</v>
      </c>
      <c r="H173" s="74">
        <v>0</v>
      </c>
      <c r="I173" s="74">
        <v>0</v>
      </c>
      <c r="J173" s="74">
        <v>0</v>
      </c>
      <c r="K173" s="74">
        <v>0</v>
      </c>
      <c r="L173"/>
    </row>
    <row r="174" spans="2:16" x14ac:dyDescent="0.3">
      <c r="B174" t="s">
        <v>310</v>
      </c>
      <c r="D174" s="25">
        <f>'Cash Flow Statement'!C52</f>
        <v>0.27</v>
      </c>
      <c r="E174" s="25">
        <f>'Cash Flow Statement'!D52</f>
        <v>0</v>
      </c>
      <c r="F174" s="25">
        <f>'Cash Flow Statement'!E52</f>
        <v>0</v>
      </c>
      <c r="G174" s="74">
        <v>0</v>
      </c>
      <c r="H174" s="74">
        <v>0</v>
      </c>
      <c r="I174" s="74">
        <v>0</v>
      </c>
      <c r="J174" s="74">
        <v>0</v>
      </c>
      <c r="K174" s="74">
        <v>0</v>
      </c>
      <c r="L174"/>
    </row>
    <row r="175" spans="2:16" x14ac:dyDescent="0.3">
      <c r="B175" t="s">
        <v>268</v>
      </c>
      <c r="D175" s="25">
        <f>'Cash Flow Statement'!C53</f>
        <v>0.5</v>
      </c>
      <c r="E175" s="25">
        <f>'Cash Flow Statement'!D53</f>
        <v>0</v>
      </c>
      <c r="F175" s="25">
        <f>'Cash Flow Statement'!E53</f>
        <v>0</v>
      </c>
      <c r="G175" s="74">
        <v>0</v>
      </c>
      <c r="H175" s="74">
        <v>0</v>
      </c>
      <c r="I175" s="74">
        <v>0</v>
      </c>
      <c r="J175" s="74">
        <v>0</v>
      </c>
      <c r="K175" s="74">
        <v>0</v>
      </c>
      <c r="L175"/>
    </row>
    <row r="176" spans="2:16" x14ac:dyDescent="0.3">
      <c r="B176" t="s">
        <v>269</v>
      </c>
      <c r="D176" s="25">
        <f>'Cash Flow Statement'!C54</f>
        <v>-5.99</v>
      </c>
      <c r="E176" s="25">
        <f>'Cash Flow Statement'!D54</f>
        <v>-25</v>
      </c>
      <c r="F176" s="25">
        <f>'Cash Flow Statement'!E54</f>
        <v>-130.88</v>
      </c>
      <c r="G176" s="74">
        <v>0</v>
      </c>
      <c r="H176" s="74">
        <v>0</v>
      </c>
      <c r="I176" s="74">
        <v>0</v>
      </c>
      <c r="J176" s="74">
        <v>0</v>
      </c>
      <c r="K176" s="74">
        <v>0</v>
      </c>
    </row>
    <row r="177" spans="2:12" x14ac:dyDescent="0.3">
      <c r="B177" t="s">
        <v>270</v>
      </c>
      <c r="D177" s="25">
        <f>'Cash Flow Statement'!C55</f>
        <v>71.7</v>
      </c>
      <c r="E177" s="25">
        <f>'Cash Flow Statement'!D55</f>
        <v>0</v>
      </c>
      <c r="F177" s="25">
        <f>'Cash Flow Statement'!E55</f>
        <v>5544.06</v>
      </c>
      <c r="G177" s="74">
        <v>0</v>
      </c>
      <c r="H177" s="74">
        <v>0</v>
      </c>
      <c r="I177" s="74">
        <v>0</v>
      </c>
      <c r="J177" s="74">
        <v>0</v>
      </c>
      <c r="K177" s="74">
        <v>0</v>
      </c>
      <c r="L177"/>
    </row>
    <row r="178" spans="2:12" x14ac:dyDescent="0.3">
      <c r="B178" t="s">
        <v>312</v>
      </c>
      <c r="D178" s="25">
        <f>'Cash Flow Statement'!C56</f>
        <v>0</v>
      </c>
      <c r="E178" s="25">
        <f>'Cash Flow Statement'!D56</f>
        <v>-260</v>
      </c>
      <c r="F178" s="25">
        <f>'Cash Flow Statement'!E56</f>
        <v>-650</v>
      </c>
      <c r="G178" s="74">
        <v>0</v>
      </c>
      <c r="H178" s="74">
        <v>0</v>
      </c>
      <c r="I178" s="74">
        <v>0</v>
      </c>
      <c r="J178" s="74">
        <v>0</v>
      </c>
      <c r="K178" s="74">
        <v>0</v>
      </c>
      <c r="L178"/>
    </row>
    <row r="179" spans="2:12" x14ac:dyDescent="0.3">
      <c r="B179" t="s">
        <v>313</v>
      </c>
      <c r="D179" s="25">
        <f>'Cash Flow Statement'!C57</f>
        <v>0</v>
      </c>
      <c r="E179" s="25">
        <f>'Cash Flow Statement'!D57</f>
        <v>0</v>
      </c>
      <c r="F179" s="25">
        <f>'Cash Flow Statement'!E57</f>
        <v>610</v>
      </c>
      <c r="G179" s="74">
        <v>0</v>
      </c>
      <c r="H179" s="74">
        <v>0</v>
      </c>
      <c r="I179" s="74">
        <v>0</v>
      </c>
      <c r="J179" s="74">
        <v>0</v>
      </c>
      <c r="K179" s="74">
        <v>0</v>
      </c>
      <c r="L179"/>
    </row>
    <row r="180" spans="2:12" x14ac:dyDescent="0.3">
      <c r="B180" t="s">
        <v>271</v>
      </c>
      <c r="D180" s="25">
        <f>'Cash Flow Statement'!C58</f>
        <v>0</v>
      </c>
      <c r="E180" s="25">
        <f>'Cash Flow Statement'!D58</f>
        <v>-100</v>
      </c>
      <c r="F180" s="25">
        <f>'Cash Flow Statement'!E58</f>
        <v>-5274.75</v>
      </c>
      <c r="G180" s="74">
        <v>0</v>
      </c>
      <c r="H180" s="74">
        <v>0</v>
      </c>
      <c r="I180" s="74">
        <v>0</v>
      </c>
      <c r="J180" s="74">
        <v>0</v>
      </c>
      <c r="K180" s="74">
        <v>0</v>
      </c>
      <c r="L180"/>
    </row>
    <row r="181" spans="2:12" x14ac:dyDescent="0.3">
      <c r="B181" t="s">
        <v>272</v>
      </c>
      <c r="D181" s="25">
        <f>'Cash Flow Statement'!C59</f>
        <v>0</v>
      </c>
      <c r="E181" s="25">
        <f>'Cash Flow Statement'!D59</f>
        <v>1.76</v>
      </c>
      <c r="F181" s="25">
        <f>'Cash Flow Statement'!E59</f>
        <v>51.29</v>
      </c>
      <c r="G181" s="74">
        <v>0</v>
      </c>
      <c r="H181" s="74">
        <f t="shared" ref="H181:K181" si="69">G181</f>
        <v>0</v>
      </c>
      <c r="I181" s="74">
        <f t="shared" si="69"/>
        <v>0</v>
      </c>
      <c r="J181" s="74">
        <f t="shared" si="69"/>
        <v>0</v>
      </c>
      <c r="K181" s="74">
        <f t="shared" si="69"/>
        <v>0</v>
      </c>
      <c r="L181"/>
    </row>
    <row r="182" spans="2:12" x14ac:dyDescent="0.3">
      <c r="B182" t="s">
        <v>273</v>
      </c>
      <c r="D182" s="25">
        <f>'Cash Flow Statement'!C60</f>
        <v>429.04</v>
      </c>
      <c r="E182" s="25">
        <f>'Cash Flow Statement'!D60</f>
        <v>203.93</v>
      </c>
      <c r="F182" s="25">
        <f>'Cash Flow Statement'!E60</f>
        <v>653.73</v>
      </c>
      <c r="G182" s="25">
        <v>0</v>
      </c>
      <c r="H182" s="25">
        <f t="shared" ref="H182:K182" si="70">G182</f>
        <v>0</v>
      </c>
      <c r="I182" s="25">
        <f t="shared" si="70"/>
        <v>0</v>
      </c>
      <c r="J182" s="25">
        <f t="shared" si="70"/>
        <v>0</v>
      </c>
      <c r="K182" s="25">
        <f t="shared" si="70"/>
        <v>0</v>
      </c>
      <c r="L182"/>
    </row>
    <row r="183" spans="2:12" x14ac:dyDescent="0.3">
      <c r="B183" t="s">
        <v>274</v>
      </c>
      <c r="D183" s="25">
        <f>'Cash Flow Statement'!C61</f>
        <v>3286.94</v>
      </c>
      <c r="E183" s="25">
        <f>'Cash Flow Statement'!D61</f>
        <v>2191.41</v>
      </c>
      <c r="F183" s="25">
        <f>'Cash Flow Statement'!E61</f>
        <v>3305.89</v>
      </c>
      <c r="G183" s="25"/>
      <c r="H183" s="25"/>
      <c r="I183" s="25"/>
      <c r="J183" s="25"/>
      <c r="K183" s="25"/>
      <c r="L183"/>
    </row>
    <row r="184" spans="2:12" x14ac:dyDescent="0.3">
      <c r="B184" t="s">
        <v>275</v>
      </c>
      <c r="D184" s="25">
        <f>'Cash Flow Statement'!C62</f>
        <v>-1782.36</v>
      </c>
      <c r="E184" s="25">
        <f>'Cash Flow Statement'!D62</f>
        <v>-3386.31</v>
      </c>
      <c r="F184" s="25">
        <f>'Cash Flow Statement'!E62</f>
        <v>-3397.34</v>
      </c>
      <c r="G184" s="25">
        <v>0</v>
      </c>
      <c r="H184" s="25">
        <f t="shared" ref="H184:K184" si="71">G184</f>
        <v>0</v>
      </c>
      <c r="I184" s="25">
        <f t="shared" si="71"/>
        <v>0</v>
      </c>
      <c r="J184" s="25">
        <f t="shared" si="71"/>
        <v>0</v>
      </c>
      <c r="K184" s="25">
        <f t="shared" si="71"/>
        <v>0</v>
      </c>
      <c r="L184"/>
    </row>
    <row r="185" spans="2:12" x14ac:dyDescent="0.3">
      <c r="B185" s="62" t="s">
        <v>276</v>
      </c>
      <c r="C185" s="4"/>
      <c r="D185" s="70">
        <f>SUM(D172:D184)</f>
        <v>1756.7500000000002</v>
      </c>
      <c r="E185" s="70">
        <f t="shared" ref="E185:K185" si="72">SUM(E172:E184)</f>
        <v>-1439.68</v>
      </c>
      <c r="F185" s="70">
        <f t="shared" si="72"/>
        <v>531.75</v>
      </c>
      <c r="G185" s="70">
        <f t="shared" si="72"/>
        <v>-295.6315032</v>
      </c>
      <c r="H185" s="70">
        <f t="shared" si="72"/>
        <v>-403.47999516000004</v>
      </c>
      <c r="I185" s="70">
        <f t="shared" si="72"/>
        <v>-562.73750773680001</v>
      </c>
      <c r="J185" s="70">
        <f t="shared" si="72"/>
        <v>-799.52876081971203</v>
      </c>
      <c r="K185" s="70">
        <f t="shared" si="72"/>
        <v>-1159.6482978154907</v>
      </c>
      <c r="L185"/>
    </row>
    <row r="186" spans="2:12" x14ac:dyDescent="0.3">
      <c r="B186" s="101"/>
      <c r="L186"/>
    </row>
    <row r="187" spans="2:12" x14ac:dyDescent="0.3">
      <c r="B187" s="21" t="s">
        <v>132</v>
      </c>
      <c r="L187"/>
    </row>
    <row r="188" spans="2:12" x14ac:dyDescent="0.3">
      <c r="B188" t="s">
        <v>278</v>
      </c>
      <c r="D188" s="25">
        <f>'Cash Flow Statement'!C66</f>
        <v>7.42</v>
      </c>
      <c r="E188" s="25">
        <f>'Cash Flow Statement'!D66</f>
        <v>17.98</v>
      </c>
      <c r="F188" s="25">
        <f>'Cash Flow Statement'!E66</f>
        <v>0</v>
      </c>
      <c r="G188" s="74">
        <f>F188</f>
        <v>0</v>
      </c>
      <c r="H188" s="74">
        <f t="shared" ref="H188:K188" si="73">G188</f>
        <v>0</v>
      </c>
      <c r="I188" s="74">
        <f t="shared" si="73"/>
        <v>0</v>
      </c>
      <c r="J188" s="74">
        <f t="shared" si="73"/>
        <v>0</v>
      </c>
      <c r="K188" s="74">
        <f t="shared" si="73"/>
        <v>0</v>
      </c>
      <c r="L188"/>
    </row>
    <row r="189" spans="2:12" x14ac:dyDescent="0.3">
      <c r="B189" t="s">
        <v>279</v>
      </c>
      <c r="D189" s="25">
        <f>'Cash Flow Statement'!C67</f>
        <v>0.28999999999999998</v>
      </c>
      <c r="E189" s="25">
        <f>'Cash Flow Statement'!D67</f>
        <v>1.0900000000000001</v>
      </c>
      <c r="F189" s="25">
        <f>'Cash Flow Statement'!E67</f>
        <v>0</v>
      </c>
      <c r="G189" s="74">
        <f t="shared" ref="G189:K189" si="74">F189</f>
        <v>0</v>
      </c>
      <c r="H189" s="74">
        <f t="shared" si="74"/>
        <v>0</v>
      </c>
      <c r="I189" s="74">
        <f t="shared" si="74"/>
        <v>0</v>
      </c>
      <c r="J189" s="74">
        <f t="shared" si="74"/>
        <v>0</v>
      </c>
      <c r="K189" s="74">
        <f t="shared" si="74"/>
        <v>0</v>
      </c>
      <c r="L189"/>
    </row>
    <row r="190" spans="2:12" x14ac:dyDescent="0.3">
      <c r="B190" t="s">
        <v>280</v>
      </c>
      <c r="D190" s="25">
        <f>'Cash Flow Statement'!C68</f>
        <v>891.56</v>
      </c>
      <c r="E190" s="25">
        <f>'Cash Flow Statement'!D68</f>
        <v>2069.7800000000002</v>
      </c>
      <c r="F190" s="25">
        <f>'Cash Flow Statement'!E68</f>
        <v>0</v>
      </c>
      <c r="G190" s="74">
        <f t="shared" ref="G190:K190" si="75">F190</f>
        <v>0</v>
      </c>
      <c r="H190" s="74">
        <f t="shared" si="75"/>
        <v>0</v>
      </c>
      <c r="I190" s="74">
        <f t="shared" si="75"/>
        <v>0</v>
      </c>
      <c r="J190" s="74">
        <f t="shared" si="75"/>
        <v>0</v>
      </c>
      <c r="K190" s="74">
        <f t="shared" si="75"/>
        <v>0</v>
      </c>
      <c r="L190"/>
    </row>
    <row r="191" spans="2:12" x14ac:dyDescent="0.3">
      <c r="B191" t="s">
        <v>281</v>
      </c>
      <c r="D191" s="25">
        <f>'Cash Flow Statement'!C69</f>
        <v>26.52</v>
      </c>
      <c r="E191" s="25">
        <f>'Cash Flow Statement'!D69</f>
        <v>0</v>
      </c>
      <c r="F191" s="25">
        <f>'Cash Flow Statement'!E69</f>
        <v>0</v>
      </c>
      <c r="G191" s="74">
        <f t="shared" ref="G191:K191" si="76">F191</f>
        <v>0</v>
      </c>
      <c r="H191" s="74">
        <f t="shared" si="76"/>
        <v>0</v>
      </c>
      <c r="I191" s="74">
        <f t="shared" si="76"/>
        <v>0</v>
      </c>
      <c r="J191" s="74">
        <f t="shared" si="76"/>
        <v>0</v>
      </c>
      <c r="K191" s="74">
        <f t="shared" si="76"/>
        <v>0</v>
      </c>
      <c r="L191"/>
    </row>
    <row r="192" spans="2:12" x14ac:dyDescent="0.3">
      <c r="B192" t="s">
        <v>314</v>
      </c>
      <c r="D192" s="25">
        <f>'Cash Flow Statement'!C70</f>
        <v>0</v>
      </c>
      <c r="E192" s="25">
        <f>'Cash Flow Statement'!D70</f>
        <v>-184.34</v>
      </c>
      <c r="F192" s="25">
        <f>'Cash Flow Statement'!E70</f>
        <v>0</v>
      </c>
      <c r="G192" s="74">
        <f t="shared" ref="G192:K192" si="77">F192</f>
        <v>0</v>
      </c>
      <c r="H192" s="74">
        <f t="shared" si="77"/>
        <v>0</v>
      </c>
      <c r="I192" s="74">
        <f t="shared" si="77"/>
        <v>0</v>
      </c>
      <c r="J192" s="74">
        <f t="shared" si="77"/>
        <v>0</v>
      </c>
      <c r="K192" s="74">
        <f t="shared" si="77"/>
        <v>0</v>
      </c>
      <c r="L192"/>
    </row>
    <row r="193" spans="2:12" x14ac:dyDescent="0.3">
      <c r="B193" t="s">
        <v>311</v>
      </c>
      <c r="D193" s="25">
        <f>'Cash Flow Statement'!C71</f>
        <v>-546.02</v>
      </c>
      <c r="E193" s="25">
        <f>'Cash Flow Statement'!D71</f>
        <v>0</v>
      </c>
      <c r="F193" s="25">
        <f>'Cash Flow Statement'!E71</f>
        <v>0</v>
      </c>
      <c r="G193" s="74">
        <f t="shared" ref="G193:K194" si="78">F193</f>
        <v>0</v>
      </c>
      <c r="H193" s="74">
        <f t="shared" si="78"/>
        <v>0</v>
      </c>
      <c r="I193" s="74">
        <f t="shared" si="78"/>
        <v>0</v>
      </c>
      <c r="J193" s="74">
        <f t="shared" si="78"/>
        <v>0</v>
      </c>
      <c r="K193" s="74">
        <f t="shared" si="78"/>
        <v>0</v>
      </c>
      <c r="L193"/>
    </row>
    <row r="194" spans="2:12" x14ac:dyDescent="0.3">
      <c r="B194" t="s">
        <v>282</v>
      </c>
      <c r="D194" s="25">
        <f>'Cash Flow Statement'!C72</f>
        <v>-174.03</v>
      </c>
      <c r="E194" s="25">
        <f>'Cash Flow Statement'!D72</f>
        <v>-157.35</v>
      </c>
      <c r="F194" s="25">
        <f>'Cash Flow Statement'!E72</f>
        <v>-187.17</v>
      </c>
      <c r="G194" s="74">
        <f>F194</f>
        <v>-187.17</v>
      </c>
      <c r="H194" s="74">
        <f t="shared" si="78"/>
        <v>-187.17</v>
      </c>
      <c r="I194" s="74">
        <f t="shared" si="78"/>
        <v>-187.17</v>
      </c>
      <c r="J194" s="74">
        <f t="shared" si="78"/>
        <v>-187.17</v>
      </c>
      <c r="K194" s="74">
        <f t="shared" si="78"/>
        <v>-187.17</v>
      </c>
      <c r="L194"/>
    </row>
    <row r="195" spans="2:12" x14ac:dyDescent="0.3">
      <c r="B195" t="s">
        <v>283</v>
      </c>
      <c r="D195" s="25">
        <f>'Cash Flow Statement'!C73</f>
        <v>-98.3</v>
      </c>
      <c r="E195" s="25">
        <f>'Cash Flow Statement'!D73</f>
        <v>-85.44</v>
      </c>
      <c r="F195" s="25">
        <f>'Cash Flow Statement'!E73</f>
        <v>-94.45</v>
      </c>
      <c r="G195" s="74">
        <f>'Schedule Sheet'!G203*-1</f>
        <v>-134.37795600000001</v>
      </c>
      <c r="H195" s="74">
        <f>'Schedule Sheet'!H203*-1</f>
        <v>-183.39999780000002</v>
      </c>
      <c r="I195" s="74">
        <f>'Schedule Sheet'!I203*-1</f>
        <v>-255.78977624400002</v>
      </c>
      <c r="J195" s="74">
        <f>'Schedule Sheet'!J203*-1</f>
        <v>-363.42216400896001</v>
      </c>
      <c r="K195" s="74">
        <f>'Schedule Sheet'!K203*-1</f>
        <v>-527.11286264340481</v>
      </c>
      <c r="L195"/>
    </row>
    <row r="196" spans="2:12" x14ac:dyDescent="0.3">
      <c r="B196" t="s">
        <v>284</v>
      </c>
      <c r="D196" s="25">
        <f>'Cash Flow Statement'!C74</f>
        <v>-131.91999999999999</v>
      </c>
      <c r="E196" s="25">
        <f>'Cash Flow Statement'!D74</f>
        <v>-133.47</v>
      </c>
      <c r="F196" s="25">
        <f>'Cash Flow Statement'!E74</f>
        <v>-166.94</v>
      </c>
      <c r="G196" s="152">
        <f>'Schedule Sheet'!G201*-1</f>
        <v>-268.75591200000002</v>
      </c>
      <c r="H196" s="152">
        <f>'Schedule Sheet'!H201*-1</f>
        <v>-366.79999560000005</v>
      </c>
      <c r="I196" s="152">
        <f>'Schedule Sheet'!I201*-1</f>
        <v>-511.57955248800005</v>
      </c>
      <c r="J196" s="152">
        <f>'Schedule Sheet'!J201*-1</f>
        <v>-726.84432801792002</v>
      </c>
      <c r="K196" s="152">
        <f>'Schedule Sheet'!K201*-1</f>
        <v>-1054.2257252868096</v>
      </c>
      <c r="L196"/>
    </row>
    <row r="197" spans="2:12" x14ac:dyDescent="0.3">
      <c r="B197" s="62" t="s">
        <v>285</v>
      </c>
      <c r="C197" s="62"/>
      <c r="D197" s="70">
        <f>SUM(D188:D196)</f>
        <v>-24.480000000000004</v>
      </c>
      <c r="E197" s="70">
        <f t="shared" ref="E197:K197" si="79">SUM(E188:E196)</f>
        <v>1528.2500000000005</v>
      </c>
      <c r="F197" s="70">
        <f t="shared" si="79"/>
        <v>-448.56</v>
      </c>
      <c r="G197" s="70">
        <f t="shared" si="79"/>
        <v>-590.30386799999997</v>
      </c>
      <c r="H197" s="70">
        <f t="shared" si="79"/>
        <v>-737.36999340000011</v>
      </c>
      <c r="I197" s="70">
        <f t="shared" si="79"/>
        <v>-954.53932873200006</v>
      </c>
      <c r="J197" s="70">
        <f t="shared" si="79"/>
        <v>-1277.4364920268799</v>
      </c>
      <c r="K197" s="70">
        <f t="shared" si="79"/>
        <v>-1768.5085879302144</v>
      </c>
      <c r="L197"/>
    </row>
    <row r="198" spans="2:12" x14ac:dyDescent="0.3">
      <c r="B198" s="20"/>
      <c r="G198" s="152"/>
      <c r="H198" s="152"/>
      <c r="I198" s="152"/>
      <c r="J198" s="152"/>
      <c r="K198" s="152"/>
      <c r="L198"/>
    </row>
    <row r="199" spans="2:12" x14ac:dyDescent="0.3">
      <c r="B199" s="20" t="s">
        <v>286</v>
      </c>
      <c r="D199" s="23">
        <f>D169+D185+D197</f>
        <v>-425.64999999999804</v>
      </c>
      <c r="E199" s="23">
        <f t="shared" ref="E199:K199" si="80">E169+E185+E197</f>
        <v>107.54000000000337</v>
      </c>
      <c r="F199" s="23">
        <f t="shared" si="80"/>
        <v>609.55999999999813</v>
      </c>
      <c r="G199" s="23">
        <f t="shared" si="80"/>
        <v>39.069966882189078</v>
      </c>
      <c r="H199" s="23">
        <f t="shared" si="80"/>
        <v>462.59114327722909</v>
      </c>
      <c r="I199" s="23">
        <f t="shared" si="80"/>
        <v>942.11941210977625</v>
      </c>
      <c r="J199" s="23">
        <f t="shared" si="80"/>
        <v>1756.5955189485639</v>
      </c>
      <c r="K199" s="23">
        <f t="shared" si="80"/>
        <v>2359.1971988029727</v>
      </c>
      <c r="L199"/>
    </row>
    <row r="200" spans="2:12" x14ac:dyDescent="0.3">
      <c r="B200" t="s">
        <v>287</v>
      </c>
      <c r="D200" s="86">
        <v>-862.14</v>
      </c>
      <c r="E200" s="86">
        <v>-1289.79</v>
      </c>
      <c r="F200" s="86">
        <v>-1182.25</v>
      </c>
      <c r="G200" s="152">
        <f>F201</f>
        <v>-572.69000000000187</v>
      </c>
      <c r="H200" s="152">
        <f t="shared" ref="H200:J200" si="81">G201</f>
        <v>-533.6200331178128</v>
      </c>
      <c r="I200" s="152">
        <f t="shared" si="81"/>
        <v>-71.028889840583702</v>
      </c>
      <c r="J200" s="152">
        <f t="shared" si="81"/>
        <v>871.09052226919255</v>
      </c>
      <c r="K200" s="152">
        <f>J201</f>
        <v>2627.6860412177566</v>
      </c>
      <c r="L200"/>
    </row>
    <row r="201" spans="2:12" x14ac:dyDescent="0.3">
      <c r="B201" t="s">
        <v>288</v>
      </c>
      <c r="D201" s="86">
        <f>D199+D200</f>
        <v>-1287.7899999999981</v>
      </c>
      <c r="E201" s="86">
        <f t="shared" ref="E201:F201" si="82">E199+E200</f>
        <v>-1182.2499999999966</v>
      </c>
      <c r="F201" s="86">
        <f t="shared" si="82"/>
        <v>-572.69000000000187</v>
      </c>
      <c r="G201" s="86">
        <f t="shared" ref="G201" si="83">G199+G200</f>
        <v>-533.6200331178128</v>
      </c>
      <c r="H201" s="86">
        <f t="shared" ref="H201" si="84">H199+H200</f>
        <v>-71.028889840583702</v>
      </c>
      <c r="I201" s="86">
        <f t="shared" ref="I201" si="85">I199+I200</f>
        <v>871.09052226919255</v>
      </c>
      <c r="J201" s="86">
        <f t="shared" ref="J201" si="86">J199+J200</f>
        <v>2627.6860412177566</v>
      </c>
      <c r="K201" s="86">
        <f t="shared" ref="K201" si="87">K199+K200</f>
        <v>4986.8832400207293</v>
      </c>
      <c r="L201"/>
    </row>
    <row r="202" spans="2:12" x14ac:dyDescent="0.3">
      <c r="B202" t="s">
        <v>289</v>
      </c>
      <c r="C202" s="20"/>
      <c r="D202" s="86"/>
      <c r="E202" s="86"/>
      <c r="F202" s="86"/>
      <c r="G202" s="23"/>
      <c r="H202" s="23"/>
      <c r="I202" s="23"/>
      <c r="J202" s="23"/>
      <c r="K202" s="23"/>
      <c r="L202"/>
    </row>
    <row r="203" spans="2:12" x14ac:dyDescent="0.3">
      <c r="B203" t="s">
        <v>290</v>
      </c>
      <c r="D203" s="86">
        <v>150.6</v>
      </c>
      <c r="E203" s="86">
        <v>320.02999999999997</v>
      </c>
      <c r="F203" s="86">
        <v>727.88</v>
      </c>
      <c r="G203" s="66">
        <v>0</v>
      </c>
      <c r="H203" s="66">
        <v>0</v>
      </c>
      <c r="I203" s="66">
        <v>0</v>
      </c>
      <c r="J203" s="66">
        <v>0</v>
      </c>
      <c r="K203" s="66">
        <v>0</v>
      </c>
    </row>
    <row r="204" spans="2:12" x14ac:dyDescent="0.3">
      <c r="B204" t="s">
        <v>291</v>
      </c>
      <c r="D204" s="86">
        <v>692.36</v>
      </c>
      <c r="E204" s="86">
        <v>726.23</v>
      </c>
      <c r="F204" s="86">
        <v>1119.55</v>
      </c>
      <c r="G204" s="66">
        <v>0</v>
      </c>
      <c r="H204" s="66">
        <v>0</v>
      </c>
      <c r="I204" s="66">
        <v>0</v>
      </c>
      <c r="J204" s="66">
        <v>0</v>
      </c>
      <c r="K204" s="66">
        <v>0</v>
      </c>
    </row>
    <row r="205" spans="2:12" x14ac:dyDescent="0.3">
      <c r="B205" t="s">
        <v>292</v>
      </c>
      <c r="D205" s="66">
        <v>0</v>
      </c>
      <c r="E205" s="86">
        <v>218.14</v>
      </c>
      <c r="F205" s="66">
        <v>0</v>
      </c>
      <c r="G205" s="66">
        <v>0</v>
      </c>
      <c r="H205" s="66">
        <v>0</v>
      </c>
      <c r="I205" s="66">
        <v>0</v>
      </c>
      <c r="J205" s="66">
        <v>0</v>
      </c>
      <c r="K205" s="66">
        <v>0</v>
      </c>
    </row>
    <row r="206" spans="2:12" x14ac:dyDescent="0.3">
      <c r="D206" s="86"/>
      <c r="E206" s="86"/>
      <c r="F206" s="86"/>
    </row>
    <row r="207" spans="2:12" ht="15" thickBot="1" x14ac:dyDescent="0.35">
      <c r="B207" s="30" t="s">
        <v>315</v>
      </c>
      <c r="C207" s="31"/>
      <c r="D207" s="112">
        <v>842.96</v>
      </c>
      <c r="E207" s="112">
        <v>1264.4000000000001</v>
      </c>
      <c r="F207" s="112">
        <v>1847.43</v>
      </c>
      <c r="G207" s="32">
        <f>(G208-G209)*-1</f>
        <v>2691.4509108821871</v>
      </c>
      <c r="H207" s="32">
        <f t="shared" ref="H207:J207" si="88">(H208-H209)*-1</f>
        <v>3596.9710661594168</v>
      </c>
      <c r="I207" s="32">
        <f t="shared" si="88"/>
        <v>4963.7269421731926</v>
      </c>
      <c r="J207" s="32">
        <f t="shared" si="88"/>
        <v>6988.752009325277</v>
      </c>
      <c r="K207" s="32">
        <f>(K208-K209)*-1</f>
        <v>9203.7861411679678</v>
      </c>
    </row>
    <row r="208" spans="2:12" x14ac:dyDescent="0.3">
      <c r="B208" t="s">
        <v>316</v>
      </c>
      <c r="D208" s="86">
        <v>-2132.75</v>
      </c>
      <c r="E208" s="86">
        <v>-2446.65</v>
      </c>
      <c r="F208" s="86">
        <v>-2420.12</v>
      </c>
      <c r="G208" s="25">
        <f>G70*-1</f>
        <v>-3225.0709440000001</v>
      </c>
      <c r="H208" s="25">
        <f>H70*-1</f>
        <v>-3667.9999560000006</v>
      </c>
      <c r="I208" s="25">
        <f>I70*-1</f>
        <v>-4092.6364199040004</v>
      </c>
      <c r="J208" s="25">
        <f>J70*-1</f>
        <v>-4361.0659681075203</v>
      </c>
      <c r="K208" s="25">
        <f>K70*-1</f>
        <v>-4216.9029011472385</v>
      </c>
    </row>
    <row r="209" spans="2:11" x14ac:dyDescent="0.3">
      <c r="B209" t="s">
        <v>293</v>
      </c>
      <c r="D209" s="86">
        <v>-1289.79</v>
      </c>
      <c r="E209" s="86">
        <v>-1182.25</v>
      </c>
      <c r="F209" s="86">
        <v>-572.69000000000005</v>
      </c>
      <c r="G209" s="86">
        <f>G201</f>
        <v>-533.6200331178128</v>
      </c>
      <c r="H209" s="86">
        <f t="shared" ref="H209:J209" si="89">H201</f>
        <v>-71.028889840583702</v>
      </c>
      <c r="I209" s="86">
        <f t="shared" si="89"/>
        <v>871.09052226919255</v>
      </c>
      <c r="J209" s="86">
        <f t="shared" si="89"/>
        <v>2627.6860412177566</v>
      </c>
      <c r="K209" s="86">
        <f>K201</f>
        <v>4986.8832400207293</v>
      </c>
    </row>
  </sheetData>
  <mergeCells count="2">
    <mergeCell ref="D8:F8"/>
    <mergeCell ref="G8:K8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7</xdr:col>
                    <xdr:colOff>60960</xdr:colOff>
                    <xdr:row>4</xdr:row>
                    <xdr:rowOff>45720</xdr:rowOff>
                  </from>
                  <to>
                    <xdr:col>8</xdr:col>
                    <xdr:colOff>289560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EDC0-57C0-4928-A346-EF47C7DC49E7}">
  <sheetPr codeName="Sheet5">
    <tabColor theme="8" tint="0.59999389629810485"/>
  </sheetPr>
  <dimension ref="B2:L86"/>
  <sheetViews>
    <sheetView showGridLines="0" zoomScaleNormal="100" workbookViewId="0">
      <pane ySplit="9" topLeftCell="A60" activePane="bottomLeft" state="frozen"/>
      <selection pane="bottomLeft" activeCell="B3" sqref="B3"/>
    </sheetView>
  </sheetViews>
  <sheetFormatPr defaultRowHeight="14.4" x14ac:dyDescent="0.3"/>
  <cols>
    <col min="1" max="1" width="1.88671875" customWidth="1"/>
    <col min="2" max="2" width="47.21875" customWidth="1"/>
    <col min="3" max="3" width="7.5546875" customWidth="1"/>
    <col min="4" max="4" width="7.44140625" customWidth="1"/>
    <col min="5" max="5" width="11.77734375" customWidth="1"/>
    <col min="6" max="12" width="12.77734375" bestFit="1" customWidth="1"/>
  </cols>
  <sheetData>
    <row r="2" spans="2:12" ht="21" x14ac:dyDescent="0.4">
      <c r="B2" s="116" t="str">
        <f>'Control Sheet'!B2</f>
        <v>Shiprocket</v>
      </c>
    </row>
    <row r="3" spans="2:12" x14ac:dyDescent="0.3">
      <c r="B3" s="20" t="s">
        <v>133</v>
      </c>
    </row>
    <row r="4" spans="2:12" ht="18" x14ac:dyDescent="0.35">
      <c r="B4" s="1"/>
    </row>
    <row r="5" spans="2:12" ht="18" x14ac:dyDescent="0.35">
      <c r="B5" s="1"/>
      <c r="E5" t="s">
        <v>1</v>
      </c>
      <c r="F5">
        <v>1</v>
      </c>
    </row>
    <row r="8" spans="2:12" x14ac:dyDescent="0.3">
      <c r="D8" s="21" t="s">
        <v>134</v>
      </c>
      <c r="E8" s="197" t="s">
        <v>3</v>
      </c>
      <c r="F8" s="197"/>
      <c r="G8" s="197"/>
      <c r="H8" s="196" t="s">
        <v>4</v>
      </c>
      <c r="I8" s="196"/>
      <c r="J8" s="196"/>
      <c r="K8" s="196"/>
      <c r="L8" s="196"/>
    </row>
    <row r="9" spans="2:12" x14ac:dyDescent="0.3">
      <c r="B9" s="118" t="s">
        <v>318</v>
      </c>
      <c r="D9" s="3"/>
      <c r="E9" s="22">
        <v>2024</v>
      </c>
      <c r="F9" s="22">
        <f t="shared" ref="F9:G9" si="0">E9+1</f>
        <v>2025</v>
      </c>
      <c r="G9" s="22">
        <f t="shared" si="0"/>
        <v>2026</v>
      </c>
      <c r="H9" s="3">
        <f>G9+1</f>
        <v>2027</v>
      </c>
      <c r="I9" s="3">
        <f t="shared" ref="I9:L9" si="1">H9+1</f>
        <v>2028</v>
      </c>
      <c r="J9" s="3">
        <f t="shared" si="1"/>
        <v>2029</v>
      </c>
      <c r="K9" s="3">
        <f t="shared" si="1"/>
        <v>2030</v>
      </c>
      <c r="L9" s="3">
        <f t="shared" si="1"/>
        <v>2031</v>
      </c>
    </row>
    <row r="10" spans="2:12" x14ac:dyDescent="0.3">
      <c r="B10" s="4"/>
      <c r="C10" s="4"/>
      <c r="D10" s="4"/>
      <c r="E10" s="4"/>
      <c r="F10" s="4"/>
      <c r="G10" s="4"/>
      <c r="H10" s="4"/>
      <c r="I10" s="4"/>
    </row>
    <row r="11" spans="2:12" ht="15.6" x14ac:dyDescent="0.3">
      <c r="B11" s="117" t="s">
        <v>135</v>
      </c>
      <c r="C11" s="109"/>
      <c r="D11" s="109"/>
      <c r="E11" s="109"/>
      <c r="F11" s="109"/>
      <c r="G11" s="109"/>
      <c r="H11" s="145"/>
      <c r="I11" s="145"/>
      <c r="J11" s="145"/>
      <c r="K11" s="145"/>
      <c r="L11" s="145"/>
    </row>
    <row r="13" spans="2:12" x14ac:dyDescent="0.3">
      <c r="B13" t="s">
        <v>136</v>
      </c>
      <c r="E13" s="94">
        <f>'3 Statement Model'!D52</f>
        <v>7021.63</v>
      </c>
      <c r="F13" s="94">
        <f>'3 Statement Model'!E52</f>
        <v>12546.240000000002</v>
      </c>
      <c r="G13" s="94">
        <f>'3 Statement Model'!F52</f>
        <v>10165.619999999999</v>
      </c>
      <c r="H13" s="94">
        <f>'3 Statement Model'!G52</f>
        <v>12777.884688854789</v>
      </c>
      <c r="I13" s="94">
        <f>'3 Statement Model'!H52</f>
        <v>14814.598998841579</v>
      </c>
      <c r="J13" s="94">
        <f>'3 Statement Model'!I52</f>
        <v>17975.851784337359</v>
      </c>
      <c r="K13" s="94">
        <f>'3 Statement Model'!J52</f>
        <v>22709.717705956045</v>
      </c>
      <c r="L13" s="94">
        <f>'3 Statement Model'!K52</f>
        <v>28289.161308025552</v>
      </c>
    </row>
    <row r="14" spans="2:12" x14ac:dyDescent="0.3">
      <c r="B14" t="s">
        <v>137</v>
      </c>
      <c r="E14" s="94">
        <f>'3 Statement Model'!D72</f>
        <v>6751.5999999999995</v>
      </c>
      <c r="F14" s="94">
        <f>'3 Statement Model'!E72</f>
        <v>7356.5300000000007</v>
      </c>
      <c r="G14" s="94">
        <f>'3 Statement Model'!F72</f>
        <v>8928.42</v>
      </c>
      <c r="H14" s="94">
        <f>'3 Statement Model'!G72</f>
        <v>11644.862324054795</v>
      </c>
      <c r="I14" s="94">
        <f>'3 Statement Model'!H72</f>
        <v>14180.085857298083</v>
      </c>
      <c r="J14" s="94">
        <f>'3 Statement Model'!I72</f>
        <v>17643.88820957586</v>
      </c>
      <c r="K14" s="94">
        <f>'3 Statement Model'!J72</f>
        <v>22037.322619206334</v>
      </c>
      <c r="L14" s="94">
        <f>'3 Statement Model'!K72</f>
        <v>27251.012926249448</v>
      </c>
    </row>
    <row r="15" spans="2:12" x14ac:dyDescent="0.3">
      <c r="B15" s="62" t="s">
        <v>135</v>
      </c>
      <c r="C15" s="62"/>
      <c r="D15" s="62"/>
      <c r="E15" s="102">
        <f t="shared" ref="E15:L15" si="2">E13/E14</f>
        <v>1.0399949641566444</v>
      </c>
      <c r="F15" s="102">
        <f t="shared" si="2"/>
        <v>1.7054562409179328</v>
      </c>
      <c r="G15" s="102">
        <f t="shared" si="2"/>
        <v>1.138568750126002</v>
      </c>
      <c r="H15" s="102">
        <f t="shared" si="2"/>
        <v>1.0972980472649736</v>
      </c>
      <c r="I15" s="102">
        <f t="shared" si="2"/>
        <v>1.0447467771301913</v>
      </c>
      <c r="J15" s="102">
        <f t="shared" si="2"/>
        <v>1.0188146496292882</v>
      </c>
      <c r="K15" s="102">
        <f t="shared" si="2"/>
        <v>1.0305116505470449</v>
      </c>
      <c r="L15" s="102">
        <f t="shared" si="2"/>
        <v>1.0380957722410424</v>
      </c>
    </row>
    <row r="17" spans="2:12" x14ac:dyDescent="0.3">
      <c r="B17" t="s">
        <v>136</v>
      </c>
      <c r="E17" s="94">
        <f>'3 Statement Model'!D52</f>
        <v>7021.63</v>
      </c>
      <c r="F17" s="94">
        <f>'3 Statement Model'!E52</f>
        <v>12546.240000000002</v>
      </c>
      <c r="G17" s="94">
        <f>'3 Statement Model'!F52</f>
        <v>10165.619999999999</v>
      </c>
      <c r="H17" s="94">
        <f>'3 Statement Model'!G52</f>
        <v>12777.884688854789</v>
      </c>
      <c r="I17" s="94">
        <f>'3 Statement Model'!H52</f>
        <v>14814.598998841579</v>
      </c>
      <c r="J17" s="94">
        <f>'3 Statement Model'!I52</f>
        <v>17975.851784337359</v>
      </c>
      <c r="K17" s="94">
        <f>'3 Statement Model'!J52</f>
        <v>22709.717705956045</v>
      </c>
      <c r="L17" s="94">
        <f>'3 Statement Model'!K52</f>
        <v>28289.161308025552</v>
      </c>
    </row>
    <row r="18" spans="2:12" x14ac:dyDescent="0.3">
      <c r="B18" t="s">
        <v>58</v>
      </c>
      <c r="E18" s="94">
        <f>'3 Statement Model'!D46</f>
        <v>14.72</v>
      </c>
      <c r="F18" s="94">
        <f>'3 Statement Model'!E46</f>
        <v>17</v>
      </c>
      <c r="G18" s="94">
        <f>'3 Statement Model'!F46</f>
        <v>26.03</v>
      </c>
      <c r="H18" s="94">
        <f>'3 Statement Model'!G46</f>
        <v>36.81587835616439</v>
      </c>
      <c r="I18" s="94">
        <f>'3 Statement Model'!H46</f>
        <v>36.81587835616439</v>
      </c>
      <c r="J18" s="94">
        <f>'3 Statement Model'!I46</f>
        <v>50.246574739726036</v>
      </c>
      <c r="K18" s="94">
        <f>'3 Statement Model'!J46</f>
        <v>70.079390751780835</v>
      </c>
      <c r="L18" s="94">
        <f>'3 Statement Model'!K46</f>
        <v>99.567716166838366</v>
      </c>
    </row>
    <row r="19" spans="2:12" x14ac:dyDescent="0.3">
      <c r="B19" t="s">
        <v>137</v>
      </c>
      <c r="E19" s="94">
        <f>'3 Statement Model'!D72</f>
        <v>6751.5999999999995</v>
      </c>
      <c r="F19" s="94">
        <f>'3 Statement Model'!E72</f>
        <v>7356.5300000000007</v>
      </c>
      <c r="G19" s="94">
        <f>'3 Statement Model'!F72</f>
        <v>8928.42</v>
      </c>
      <c r="H19" s="94">
        <f>'3 Statement Model'!G72</f>
        <v>11644.862324054795</v>
      </c>
      <c r="I19" s="94">
        <f>'3 Statement Model'!H72</f>
        <v>14180.085857298083</v>
      </c>
      <c r="J19" s="94">
        <f>'3 Statement Model'!I72</f>
        <v>17643.88820957586</v>
      </c>
      <c r="K19" s="94">
        <f>'3 Statement Model'!J72</f>
        <v>22037.322619206334</v>
      </c>
      <c r="L19" s="94">
        <f>'3 Statement Model'!K72</f>
        <v>27251.012926249448</v>
      </c>
    </row>
    <row r="20" spans="2:12" x14ac:dyDescent="0.3">
      <c r="B20" s="62" t="s">
        <v>138</v>
      </c>
      <c r="C20" s="62"/>
      <c r="D20" s="62"/>
      <c r="E20" s="102">
        <f>(E17-E18)/E19</f>
        <v>1.0378147402097282</v>
      </c>
      <c r="F20" s="102">
        <f t="shared" ref="F20:L20" si="3">(F17-F18)/F19</f>
        <v>1.703145368808392</v>
      </c>
      <c r="G20" s="102">
        <f t="shared" si="3"/>
        <v>1.1356533406806577</v>
      </c>
      <c r="H20" s="102">
        <f t="shared" si="3"/>
        <v>1.0941364917796748</v>
      </c>
      <c r="I20" s="102">
        <f t="shared" si="3"/>
        <v>1.0421504685657255</v>
      </c>
      <c r="J20" s="102">
        <f t="shared" si="3"/>
        <v>1.0159668320653312</v>
      </c>
      <c r="K20" s="102">
        <f t="shared" si="3"/>
        <v>1.0273316185639081</v>
      </c>
      <c r="L20" s="102">
        <f t="shared" si="3"/>
        <v>1.0344420469121418</v>
      </c>
    </row>
    <row r="22" spans="2:12" x14ac:dyDescent="0.3">
      <c r="B22" t="s">
        <v>59</v>
      </c>
      <c r="E22" s="103">
        <f>'Schedule Sheet'!D130</f>
        <v>0.40827492294692302</v>
      </c>
      <c r="F22" s="103">
        <f>'Schedule Sheet'!E130</f>
        <v>0.38020553770437959</v>
      </c>
      <c r="G22" s="103">
        <f>'Schedule Sheet'!F130</f>
        <v>0.46938182666128497</v>
      </c>
      <c r="H22" s="103">
        <f>'Schedule Sheet'!G130</f>
        <v>0.5</v>
      </c>
      <c r="I22" s="103">
        <f>'Schedule Sheet'!H130</f>
        <v>0.5</v>
      </c>
      <c r="J22" s="103">
        <f>'Schedule Sheet'!I130</f>
        <v>0.5</v>
      </c>
      <c r="K22" s="103">
        <f>'Schedule Sheet'!J130</f>
        <v>0.5</v>
      </c>
      <c r="L22" s="103">
        <f>'Schedule Sheet'!K130</f>
        <v>0.5</v>
      </c>
    </row>
    <row r="23" spans="2:12" x14ac:dyDescent="0.3">
      <c r="B23" t="s">
        <v>139</v>
      </c>
      <c r="E23" s="103">
        <f>'Schedule Sheet'!D125</f>
        <v>32.467563998127623</v>
      </c>
      <c r="F23" s="103">
        <f>'Schedule Sheet'!E125</f>
        <v>32.882411403837715</v>
      </c>
      <c r="G23" s="103">
        <f>'Schedule Sheet'!F125</f>
        <v>42.645583978586465</v>
      </c>
      <c r="H23" s="103">
        <f>'Schedule Sheet'!G125</f>
        <v>50</v>
      </c>
      <c r="I23" s="103">
        <f>'Schedule Sheet'!H125</f>
        <v>43</v>
      </c>
      <c r="J23" s="103">
        <f>'Schedule Sheet'!I125</f>
        <v>41</v>
      </c>
      <c r="K23" s="103">
        <f>'Schedule Sheet'!J125</f>
        <v>40</v>
      </c>
      <c r="L23" s="103">
        <f>'Schedule Sheet'!K125</f>
        <v>40</v>
      </c>
    </row>
    <row r="24" spans="2:12" x14ac:dyDescent="0.3">
      <c r="B24" t="s">
        <v>140</v>
      </c>
      <c r="E24" s="103">
        <f>'Schedule Sheet'!D145</f>
        <v>56.033514289014391</v>
      </c>
      <c r="F24" s="103">
        <f>'Schedule Sheet'!E145</f>
        <v>51.304264306880093</v>
      </c>
      <c r="G24" s="103">
        <f>'Schedule Sheet'!F145</f>
        <v>49.077178911943385</v>
      </c>
      <c r="H24" s="103">
        <f>'Schedule Sheet'!G145</f>
        <v>45</v>
      </c>
      <c r="I24" s="103">
        <f>'Schedule Sheet'!H145</f>
        <v>40</v>
      </c>
      <c r="J24" s="103">
        <f>'Schedule Sheet'!I145</f>
        <v>35</v>
      </c>
      <c r="K24" s="103">
        <f>'Schedule Sheet'!J145</f>
        <v>30</v>
      </c>
      <c r="L24" s="103">
        <f>'Schedule Sheet'!K145</f>
        <v>25</v>
      </c>
    </row>
    <row r="25" spans="2:12" x14ac:dyDescent="0.3">
      <c r="B25" s="62" t="s">
        <v>141</v>
      </c>
      <c r="C25" s="62"/>
      <c r="D25" s="62"/>
      <c r="E25" s="104">
        <f t="shared" ref="E25:L25" si="4">E22+E23-E24</f>
        <v>-23.157675367939845</v>
      </c>
      <c r="F25" s="104">
        <f t="shared" si="4"/>
        <v>-18.041647365338001</v>
      </c>
      <c r="G25" s="104">
        <f t="shared" si="4"/>
        <v>-5.9622131066956356</v>
      </c>
      <c r="H25" s="104">
        <f t="shared" si="4"/>
        <v>5.5</v>
      </c>
      <c r="I25" s="104">
        <f t="shared" si="4"/>
        <v>3.5</v>
      </c>
      <c r="J25" s="104">
        <f t="shared" si="4"/>
        <v>6.5</v>
      </c>
      <c r="K25" s="104">
        <f t="shared" si="4"/>
        <v>10.5</v>
      </c>
      <c r="L25" s="104">
        <f t="shared" si="4"/>
        <v>15.5</v>
      </c>
    </row>
    <row r="27" spans="2:12" ht="15.6" x14ac:dyDescent="0.3">
      <c r="B27" s="117" t="s">
        <v>142</v>
      </c>
      <c r="C27" s="109"/>
      <c r="D27" s="109"/>
      <c r="E27" s="109"/>
      <c r="F27" s="109"/>
      <c r="G27" s="109"/>
      <c r="H27" s="145"/>
      <c r="I27" s="145"/>
      <c r="J27" s="145"/>
      <c r="K27" s="145"/>
      <c r="L27" s="145"/>
    </row>
    <row r="29" spans="2:12" x14ac:dyDescent="0.3">
      <c r="B29" t="s">
        <v>143</v>
      </c>
      <c r="E29" s="94">
        <f>'3 Statement Model'!D70+'3 Statement Model'!D69+'3 Statement Model'!D74</f>
        <v>3159.15</v>
      </c>
      <c r="F29" s="94">
        <f>'3 Statement Model'!E70+'3 Statement Model'!E69+'3 Statement Model'!E74</f>
        <v>3346.17</v>
      </c>
      <c r="G29" s="94">
        <f>'3 Statement Model'!F70+'3 Statement Model'!F69+'3 Statement Model'!F74</f>
        <v>3447.8499999999995</v>
      </c>
      <c r="H29" s="94">
        <f>'3 Statement Model'!G70+'3 Statement Model'!G69+'3 Statement Model'!G74</f>
        <v>4583.8935125999942</v>
      </c>
      <c r="I29" s="94">
        <f>'3 Statement Model'!H70+'3 Statement Model'!H69+'3 Statement Model'!H74</f>
        <v>5868.7999296000007</v>
      </c>
      <c r="J29" s="94">
        <f>'3 Statement Model'!I70+'3 Statement Model'!I69+'3 Statement Model'!I74</f>
        <v>7211.8419009843892</v>
      </c>
      <c r="K29" s="94">
        <f>'3 Statement Model'!J70+'3 Statement Model'!J69+'3 Statement Model'!J74</f>
        <v>8859.8629912386205</v>
      </c>
      <c r="L29" s="94">
        <f>'3 Statement Model'!K70+'3 Statement Model'!K69+'3 Statement Model'!K74</f>
        <v>11596.482978154905</v>
      </c>
    </row>
    <row r="30" spans="2:12" x14ac:dyDescent="0.3">
      <c r="B30" t="s">
        <v>144</v>
      </c>
      <c r="E30" s="94">
        <f>'3 Statement Model'!D78+'3 Statement Model'!D80+'3 Statement Model'!D79</f>
        <v>12861.77</v>
      </c>
      <c r="F30" s="94">
        <f>'3 Statement Model'!E78+'3 Statement Model'!E80+'3 Statement Model'!E79</f>
        <v>14912.51</v>
      </c>
      <c r="G30" s="94">
        <f>'3 Statement Model'!F78+'3 Statement Model'!F80+'3 Statement Model'!F79</f>
        <v>15243.11</v>
      </c>
      <c r="H30" s="94">
        <f>'3 Statement Model'!G78+'3 Statement Model'!G80+'3 Statement Model'!G79</f>
        <v>15558.748677799998</v>
      </c>
      <c r="I30" s="94">
        <f>'3 Statement Model'!H78+'3 Statement Model'!H80+'3 Statement Model'!H79</f>
        <v>16114.6543730675</v>
      </c>
      <c r="J30" s="94">
        <f>'3 Statement Model'!I78+'3 Statement Model'!I80+'3 Statement Model'!I79</f>
        <v>17288.235743180147</v>
      </c>
      <c r="K30" s="94">
        <f>'3 Statement Model'!J78+'3 Statement Model'!J80+'3 Statement Model'!J79</f>
        <v>19255.78025573909</v>
      </c>
      <c r="L30" s="94">
        <f>'3 Statement Model'!K78+'3 Statement Model'!K80+'3 Statement Model'!K79</f>
        <v>22157.282442740165</v>
      </c>
    </row>
    <row r="31" spans="2:12" x14ac:dyDescent="0.3">
      <c r="B31" s="62" t="s">
        <v>145</v>
      </c>
      <c r="C31" s="62"/>
      <c r="D31" s="62"/>
      <c r="E31" s="102">
        <f t="shared" ref="E31:L31" si="5">E29/E30</f>
        <v>0.24562326958109187</v>
      </c>
      <c r="F31" s="102">
        <f t="shared" si="5"/>
        <v>0.22438677325279247</v>
      </c>
      <c r="G31" s="102">
        <f t="shared" si="5"/>
        <v>0.22619071829829998</v>
      </c>
      <c r="H31" s="102">
        <f t="shared" si="5"/>
        <v>0.29461839171812854</v>
      </c>
      <c r="I31" s="102">
        <f t="shared" si="5"/>
        <v>0.36419024533399574</v>
      </c>
      <c r="J31" s="102">
        <f t="shared" si="5"/>
        <v>0.41715314437618728</v>
      </c>
      <c r="K31" s="102">
        <f t="shared" si="5"/>
        <v>0.46011446295966024</v>
      </c>
      <c r="L31" s="102">
        <f t="shared" si="5"/>
        <v>0.52337117641222708</v>
      </c>
    </row>
    <row r="33" spans="2:12" x14ac:dyDescent="0.3">
      <c r="B33" t="s">
        <v>143</v>
      </c>
      <c r="E33" s="94">
        <f>E29</f>
        <v>3159.15</v>
      </c>
      <c r="F33" s="94">
        <f t="shared" ref="F33:L33" si="6">F29</f>
        <v>3346.17</v>
      </c>
      <c r="G33" s="94">
        <f t="shared" si="6"/>
        <v>3447.8499999999995</v>
      </c>
      <c r="H33" s="94">
        <f t="shared" si="6"/>
        <v>4583.8935125999942</v>
      </c>
      <c r="I33" s="94">
        <f t="shared" si="6"/>
        <v>5868.7999296000007</v>
      </c>
      <c r="J33" s="94">
        <f t="shared" si="6"/>
        <v>7211.8419009843892</v>
      </c>
      <c r="K33" s="94">
        <f t="shared" si="6"/>
        <v>8859.8629912386205</v>
      </c>
      <c r="L33" s="94">
        <f t="shared" si="6"/>
        <v>11596.482978154905</v>
      </c>
    </row>
    <row r="34" spans="2:12" x14ac:dyDescent="0.3">
      <c r="B34" t="s">
        <v>106</v>
      </c>
      <c r="E34" s="94">
        <f>'3 Statement Model'!D62</f>
        <v>20512.18</v>
      </c>
      <c r="F34" s="94">
        <f>'3 Statement Model'!E62</f>
        <v>23086.22</v>
      </c>
      <c r="G34" s="94">
        <f>'3 Statement Model'!F62</f>
        <v>25047.68</v>
      </c>
      <c r="H34" s="94">
        <f>'3 Statement Model'!G62</f>
        <v>28696.811526454789</v>
      </c>
      <c r="I34" s="94">
        <f>'3 Statement Model'!H62</f>
        <v>32495.540203965582</v>
      </c>
      <c r="J34" s="94">
        <f>'3 Statement Model'!I62</f>
        <v>38153.645344334</v>
      </c>
      <c r="K34" s="94">
        <f>'3 Statement Model'!J62</f>
        <v>45719.215465274734</v>
      </c>
      <c r="L34" s="94">
        <f>'3 Statement Model'!K62</f>
        <v>57209.565736112003</v>
      </c>
    </row>
    <row r="35" spans="2:12" x14ac:dyDescent="0.3">
      <c r="B35" s="62" t="s">
        <v>146</v>
      </c>
      <c r="C35" s="62"/>
      <c r="D35" s="62"/>
      <c r="E35" s="102">
        <f t="shared" ref="E35:L35" si="7">E33/E34</f>
        <v>0.1540133715675272</v>
      </c>
      <c r="F35" s="102">
        <f t="shared" si="7"/>
        <v>0.14494230757568802</v>
      </c>
      <c r="G35" s="102">
        <f t="shared" si="7"/>
        <v>0.1376514711142908</v>
      </c>
      <c r="H35" s="102">
        <f t="shared" si="7"/>
        <v>0.15973529004691797</v>
      </c>
      <c r="I35" s="102">
        <f t="shared" si="7"/>
        <v>0.18060324256076851</v>
      </c>
      <c r="J35" s="102">
        <f t="shared" si="7"/>
        <v>0.18902104467077829</v>
      </c>
      <c r="K35" s="102">
        <f t="shared" si="7"/>
        <v>0.19378860509905252</v>
      </c>
      <c r="L35" s="102">
        <f t="shared" si="7"/>
        <v>0.202701817938026</v>
      </c>
    </row>
    <row r="36" spans="2:12" x14ac:dyDescent="0.3">
      <c r="E36" s="105"/>
      <c r="F36" s="105"/>
      <c r="G36" s="105"/>
      <c r="H36" s="105"/>
      <c r="I36" s="105"/>
    </row>
    <row r="37" spans="2:12" x14ac:dyDescent="0.3">
      <c r="B37" t="s">
        <v>144</v>
      </c>
      <c r="E37" s="94">
        <f>E30</f>
        <v>12861.77</v>
      </c>
      <c r="F37" s="94">
        <f t="shared" ref="F37:L37" si="8">F30</f>
        <v>14912.51</v>
      </c>
      <c r="G37" s="94">
        <f t="shared" si="8"/>
        <v>15243.11</v>
      </c>
      <c r="H37" s="94">
        <f t="shared" si="8"/>
        <v>15558.748677799998</v>
      </c>
      <c r="I37" s="94">
        <f t="shared" si="8"/>
        <v>16114.6543730675</v>
      </c>
      <c r="J37" s="94">
        <f t="shared" si="8"/>
        <v>17288.235743180147</v>
      </c>
      <c r="K37" s="94">
        <f t="shared" si="8"/>
        <v>19255.78025573909</v>
      </c>
      <c r="L37" s="94">
        <f t="shared" si="8"/>
        <v>22157.282442740165</v>
      </c>
    </row>
    <row r="38" spans="2:12" x14ac:dyDescent="0.3">
      <c r="B38" t="s">
        <v>106</v>
      </c>
      <c r="E38" s="94">
        <f>E34</f>
        <v>20512.18</v>
      </c>
      <c r="F38" s="94">
        <f t="shared" ref="F38:L38" si="9">F34</f>
        <v>23086.22</v>
      </c>
      <c r="G38" s="94">
        <f t="shared" si="9"/>
        <v>25047.68</v>
      </c>
      <c r="H38" s="94">
        <f t="shared" si="9"/>
        <v>28696.811526454789</v>
      </c>
      <c r="I38" s="94">
        <f t="shared" si="9"/>
        <v>32495.540203965582</v>
      </c>
      <c r="J38" s="94">
        <f t="shared" si="9"/>
        <v>38153.645344334</v>
      </c>
      <c r="K38" s="94">
        <f t="shared" si="9"/>
        <v>45719.215465274734</v>
      </c>
      <c r="L38" s="94">
        <f t="shared" si="9"/>
        <v>57209.565736112003</v>
      </c>
    </row>
    <row r="39" spans="2:12" x14ac:dyDescent="0.3">
      <c r="B39" s="62" t="s">
        <v>147</v>
      </c>
      <c r="C39" s="62"/>
      <c r="D39" s="62"/>
      <c r="E39" s="102">
        <f t="shared" ref="E39:L39" si="10">E37/E38</f>
        <v>0.62703086653880769</v>
      </c>
      <c r="F39" s="102">
        <f t="shared" si="10"/>
        <v>0.6459485355333181</v>
      </c>
      <c r="G39" s="102">
        <f t="shared" si="10"/>
        <v>0.60856374722129958</v>
      </c>
      <c r="H39" s="102">
        <f t="shared" si="10"/>
        <v>0.54217691270184576</v>
      </c>
      <c r="I39" s="102">
        <f t="shared" si="10"/>
        <v>0.4959035692873619</v>
      </c>
      <c r="J39" s="102">
        <f t="shared" si="10"/>
        <v>0.45312146682590926</v>
      </c>
      <c r="K39" s="102">
        <f t="shared" si="10"/>
        <v>0.42117477432141187</v>
      </c>
      <c r="L39" s="102">
        <f t="shared" si="10"/>
        <v>0.38730030822020339</v>
      </c>
    </row>
    <row r="40" spans="2:12" x14ac:dyDescent="0.3">
      <c r="E40" s="105"/>
      <c r="F40" s="105"/>
      <c r="G40" s="105"/>
      <c r="H40" s="105"/>
      <c r="I40" s="105"/>
    </row>
    <row r="41" spans="2:12" ht="15.6" x14ac:dyDescent="0.3">
      <c r="B41" s="117" t="s">
        <v>148</v>
      </c>
      <c r="C41" s="109"/>
      <c r="D41" s="109"/>
      <c r="E41" s="109"/>
      <c r="F41" s="109"/>
      <c r="G41" s="109"/>
      <c r="H41" s="145"/>
      <c r="I41" s="145"/>
      <c r="J41" s="145"/>
      <c r="K41" s="145"/>
      <c r="L41" s="145"/>
    </row>
    <row r="43" spans="2:12" x14ac:dyDescent="0.3">
      <c r="B43" t="s">
        <v>87</v>
      </c>
      <c r="E43" s="94">
        <f>'3 Statement Model'!D14</f>
        <v>13159.76</v>
      </c>
      <c r="F43" s="94">
        <f>'3 Statement Model'!E14</f>
        <v>16320.12</v>
      </c>
      <c r="G43" s="94">
        <f>'3 Statement Model'!F14</f>
        <v>20241.41</v>
      </c>
      <c r="H43" s="94">
        <f>'3 Statement Model'!G14</f>
        <v>26875.591200000003</v>
      </c>
      <c r="I43" s="94">
        <f>'3 Statement Model'!H14</f>
        <v>36679.999560000004</v>
      </c>
      <c r="J43" s="94">
        <f>'3 Statement Model'!I14</f>
        <v>51157.955248800004</v>
      </c>
      <c r="K43" s="94">
        <f>'3 Statement Model'!J14</f>
        <v>72684.432801792005</v>
      </c>
      <c r="L43" s="94">
        <f>'3 Statement Model'!K14</f>
        <v>105422.57252868096</v>
      </c>
    </row>
    <row r="44" spans="2:12" x14ac:dyDescent="0.3">
      <c r="B44" t="s">
        <v>149</v>
      </c>
      <c r="E44" s="94">
        <f>'3 Statement Model'!D13</f>
        <v>13159.76</v>
      </c>
      <c r="F44" s="94">
        <f>'3 Statement Model'!E13</f>
        <v>16320.12</v>
      </c>
      <c r="G44" s="94">
        <f>'3 Statement Model'!F13</f>
        <v>20241.41</v>
      </c>
      <c r="H44" s="94">
        <f>'3 Statement Model'!G13</f>
        <v>26875.591200000003</v>
      </c>
      <c r="I44" s="94">
        <f>'3 Statement Model'!H13</f>
        <v>36679.999560000004</v>
      </c>
      <c r="J44" s="94">
        <f>'3 Statement Model'!I13</f>
        <v>51157.955248800004</v>
      </c>
      <c r="K44" s="94">
        <f>'3 Statement Model'!J13</f>
        <v>72684.432801792005</v>
      </c>
      <c r="L44" s="94">
        <f>'3 Statement Model'!K13</f>
        <v>105422.57252868096</v>
      </c>
    </row>
    <row r="45" spans="2:12" x14ac:dyDescent="0.3">
      <c r="B45" s="62" t="s">
        <v>150</v>
      </c>
      <c r="C45" s="62"/>
      <c r="D45" s="62"/>
      <c r="E45" s="102">
        <f t="shared" ref="E45:L45" si="11">E43/E44</f>
        <v>1</v>
      </c>
      <c r="F45" s="102">
        <f t="shared" si="11"/>
        <v>1</v>
      </c>
      <c r="G45" s="102">
        <f t="shared" si="11"/>
        <v>1</v>
      </c>
      <c r="H45" s="102">
        <f t="shared" si="11"/>
        <v>1</v>
      </c>
      <c r="I45" s="102">
        <f t="shared" si="11"/>
        <v>1</v>
      </c>
      <c r="J45" s="102">
        <f t="shared" si="11"/>
        <v>1</v>
      </c>
      <c r="K45" s="102">
        <f t="shared" si="11"/>
        <v>1</v>
      </c>
      <c r="L45" s="102">
        <f t="shared" si="11"/>
        <v>1</v>
      </c>
    </row>
    <row r="46" spans="2:12" ht="13.2" customHeight="1" x14ac:dyDescent="0.3">
      <c r="B46" s="20"/>
      <c r="C46" s="20"/>
      <c r="D46" s="20"/>
      <c r="E46" s="105"/>
      <c r="F46" s="105"/>
      <c r="G46" s="105"/>
      <c r="H46" s="105"/>
      <c r="I46" s="105"/>
    </row>
    <row r="47" spans="2:12" x14ac:dyDescent="0.3">
      <c r="B47" t="s">
        <v>90</v>
      </c>
      <c r="E47" s="94">
        <f>'3 Statement Model'!D24</f>
        <v>-2931.67</v>
      </c>
      <c r="F47" s="94">
        <f>'3 Statement Model'!E24</f>
        <v>-599.68999999999687</v>
      </c>
      <c r="G47" s="94">
        <f>'3 Statement Model'!F24</f>
        <v>-665.33000000000175</v>
      </c>
      <c r="H47" s="94">
        <f>'3 Statement Model'!G24</f>
        <v>403.13386799999716</v>
      </c>
      <c r="I47" s="94">
        <f>'3 Statement Model'!H24</f>
        <v>916.99998900000355</v>
      </c>
      <c r="J47" s="94">
        <f>'3 Statement Model'!I24</f>
        <v>1790.5284337079938</v>
      </c>
      <c r="K47" s="94">
        <f>'3 Statement Model'!J24</f>
        <v>2907.3773120716796</v>
      </c>
      <c r="L47" s="94">
        <f>'3 Statement Model'!K24</f>
        <v>4216.9029011472303</v>
      </c>
    </row>
    <row r="48" spans="2:12" x14ac:dyDescent="0.3">
      <c r="B48" t="s">
        <v>149</v>
      </c>
      <c r="E48" s="94">
        <f>E44</f>
        <v>13159.76</v>
      </c>
      <c r="F48" s="94">
        <f t="shared" ref="F48:L48" si="12">F44</f>
        <v>16320.12</v>
      </c>
      <c r="G48" s="94">
        <f t="shared" si="12"/>
        <v>20241.41</v>
      </c>
      <c r="H48" s="94">
        <f t="shared" si="12"/>
        <v>26875.591200000003</v>
      </c>
      <c r="I48" s="94">
        <f t="shared" si="12"/>
        <v>36679.999560000004</v>
      </c>
      <c r="J48" s="94">
        <f t="shared" si="12"/>
        <v>51157.955248800004</v>
      </c>
      <c r="K48" s="94">
        <f t="shared" si="12"/>
        <v>72684.432801792005</v>
      </c>
      <c r="L48" s="94">
        <f t="shared" si="12"/>
        <v>105422.57252868096</v>
      </c>
    </row>
    <row r="49" spans="2:12" x14ac:dyDescent="0.3">
      <c r="B49" s="62" t="s">
        <v>151</v>
      </c>
      <c r="C49" s="62"/>
      <c r="D49" s="62"/>
      <c r="E49" s="157">
        <f t="shared" ref="E49:L49" si="13">E47/E48</f>
        <v>-0.22277533936789121</v>
      </c>
      <c r="F49" s="102">
        <f t="shared" si="13"/>
        <v>-3.6745440597250316E-2</v>
      </c>
      <c r="G49" s="102">
        <f t="shared" si="13"/>
        <v>-3.2869745734116433E-2</v>
      </c>
      <c r="H49" s="102">
        <f t="shared" si="13"/>
        <v>1.4999999999999894E-2</v>
      </c>
      <c r="I49" s="102">
        <f t="shared" si="13"/>
        <v>2.5000000000000095E-2</v>
      </c>
      <c r="J49" s="102">
        <f t="shared" si="13"/>
        <v>3.4999999999999878E-2</v>
      </c>
      <c r="K49" s="102">
        <f t="shared" si="13"/>
        <v>3.9999999999999994E-2</v>
      </c>
      <c r="L49" s="102">
        <f t="shared" si="13"/>
        <v>3.9999999999999925E-2</v>
      </c>
    </row>
    <row r="50" spans="2:12" x14ac:dyDescent="0.3">
      <c r="B50" s="20"/>
      <c r="C50" s="20"/>
      <c r="D50" s="20"/>
      <c r="E50" s="105"/>
      <c r="F50" s="105"/>
      <c r="G50" s="105"/>
      <c r="H50" s="105"/>
      <c r="I50" s="105"/>
    </row>
    <row r="51" spans="2:12" x14ac:dyDescent="0.3">
      <c r="B51" t="s">
        <v>93</v>
      </c>
      <c r="E51" s="94">
        <f>'3 Statement Model'!D30</f>
        <v>-3691.45</v>
      </c>
      <c r="F51" s="94">
        <f>'3 Statement Model'!E30</f>
        <v>-951.88999999999692</v>
      </c>
      <c r="G51" s="94">
        <f>'3 Statement Model'!F30</f>
        <v>-1028.3000000000018</v>
      </c>
      <c r="H51" s="94">
        <f>'3 Statement Model'!G30</f>
        <v>-87.495190200002867</v>
      </c>
      <c r="I51" s="94">
        <f>'3 Statement Model'!H30</f>
        <v>252.14093289000346</v>
      </c>
      <c r="J51" s="94">
        <f>'3 Statement Model'!I30</f>
        <v>882.66909016619377</v>
      </c>
      <c r="K51" s="94">
        <f>'3 Statement Model'!J30</f>
        <v>1654.2669127213676</v>
      </c>
      <c r="L51" s="94">
        <f>'3 Statement Model'!K30</f>
        <v>2463.0352822856835</v>
      </c>
    </row>
    <row r="52" spans="2:12" x14ac:dyDescent="0.3">
      <c r="B52" t="s">
        <v>149</v>
      </c>
      <c r="E52" s="94">
        <f>E48</f>
        <v>13159.76</v>
      </c>
      <c r="F52" s="94">
        <f t="shared" ref="F52:L52" si="14">F48</f>
        <v>16320.12</v>
      </c>
      <c r="G52" s="94">
        <f t="shared" si="14"/>
        <v>20241.41</v>
      </c>
      <c r="H52" s="94">
        <f t="shared" si="14"/>
        <v>26875.591200000003</v>
      </c>
      <c r="I52" s="94">
        <f t="shared" si="14"/>
        <v>36679.999560000004</v>
      </c>
      <c r="J52" s="94">
        <f t="shared" si="14"/>
        <v>51157.955248800004</v>
      </c>
      <c r="K52" s="94">
        <f t="shared" si="14"/>
        <v>72684.432801792005</v>
      </c>
      <c r="L52" s="94">
        <f t="shared" si="14"/>
        <v>105422.57252868096</v>
      </c>
    </row>
    <row r="53" spans="2:12" x14ac:dyDescent="0.3">
      <c r="B53" s="62" t="s">
        <v>152</v>
      </c>
      <c r="C53" s="62"/>
      <c r="D53" s="62"/>
      <c r="E53" s="106">
        <f t="shared" ref="E53:L53" si="15">E51/E52</f>
        <v>-0.28051043484075694</v>
      </c>
      <c r="F53" s="106">
        <f t="shared" si="15"/>
        <v>-5.8326164268399795E-2</v>
      </c>
      <c r="G53" s="106">
        <f t="shared" si="15"/>
        <v>-5.0801796910393188E-2</v>
      </c>
      <c r="H53" s="106">
        <f t="shared" si="15"/>
        <v>-3.2555633678489223E-3</v>
      </c>
      <c r="I53" s="106">
        <f t="shared" si="15"/>
        <v>6.8740713171917883E-3</v>
      </c>
      <c r="J53" s="106">
        <f t="shared" si="15"/>
        <v>1.7253799255139275E-2</v>
      </c>
      <c r="K53" s="106">
        <f t="shared" si="15"/>
        <v>2.2759576555168252E-2</v>
      </c>
      <c r="L53" s="106">
        <f t="shared" si="15"/>
        <v>2.3363452657310154E-2</v>
      </c>
    </row>
    <row r="54" spans="2:12" x14ac:dyDescent="0.3">
      <c r="B54" s="20"/>
      <c r="C54" s="20"/>
      <c r="D54" s="20"/>
      <c r="E54" s="105"/>
      <c r="F54" s="105"/>
      <c r="G54" s="105"/>
      <c r="H54" s="105"/>
      <c r="I54" s="105"/>
    </row>
    <row r="55" spans="2:12" x14ac:dyDescent="0.3">
      <c r="B55" t="s">
        <v>48</v>
      </c>
      <c r="E55" s="94">
        <f>'3 Statement Model'!D39</f>
        <v>-5949.8099999999995</v>
      </c>
      <c r="F55" s="94">
        <f>'3 Statement Model'!E39</f>
        <v>-744.48999999999705</v>
      </c>
      <c r="G55" s="94">
        <f>'3 Statement Model'!F39</f>
        <v>-792.45000000000186</v>
      </c>
      <c r="H55" s="94">
        <f>'3 Statement Model'!G39</f>
        <v>315.63867779999714</v>
      </c>
      <c r="I55" s="94">
        <f>'3 Statement Model'!H39</f>
        <v>555.90569526750267</v>
      </c>
      <c r="J55" s="94">
        <f>'3 Statement Model'!I39</f>
        <v>1173.5813701126453</v>
      </c>
      <c r="K55" s="94">
        <f>'3 Statement Model'!J39</f>
        <v>1967.5445125589454</v>
      </c>
      <c r="L55" s="94">
        <f>'3 Statement Model'!K39</f>
        <v>2901.5021870010719</v>
      </c>
    </row>
    <row r="56" spans="2:12" x14ac:dyDescent="0.3">
      <c r="B56" t="s">
        <v>149</v>
      </c>
      <c r="E56" s="94">
        <f>E52</f>
        <v>13159.76</v>
      </c>
      <c r="F56" s="94">
        <f t="shared" ref="F56:L56" si="16">F52</f>
        <v>16320.12</v>
      </c>
      <c r="G56" s="94">
        <f t="shared" si="16"/>
        <v>20241.41</v>
      </c>
      <c r="H56" s="94">
        <f t="shared" si="16"/>
        <v>26875.591200000003</v>
      </c>
      <c r="I56" s="94">
        <f t="shared" si="16"/>
        <v>36679.999560000004</v>
      </c>
      <c r="J56" s="94">
        <f t="shared" si="16"/>
        <v>51157.955248800004</v>
      </c>
      <c r="K56" s="94">
        <f t="shared" si="16"/>
        <v>72684.432801792005</v>
      </c>
      <c r="L56" s="94">
        <f t="shared" si="16"/>
        <v>105422.57252868096</v>
      </c>
    </row>
    <row r="57" spans="2:12" x14ac:dyDescent="0.3">
      <c r="B57" s="62" t="s">
        <v>153</v>
      </c>
      <c r="C57" s="62"/>
      <c r="D57" s="62"/>
      <c r="E57" s="106">
        <f t="shared" ref="E57:L57" si="17">E55/E56</f>
        <v>-0.45212146726080105</v>
      </c>
      <c r="F57" s="106">
        <f t="shared" si="17"/>
        <v>-4.5617924378006838E-2</v>
      </c>
      <c r="G57" s="106">
        <f t="shared" si="17"/>
        <v>-3.9149940641487024E-2</v>
      </c>
      <c r="H57" s="106">
        <f t="shared" si="17"/>
        <v>1.1744436632151077E-2</v>
      </c>
      <c r="I57" s="106">
        <f t="shared" si="17"/>
        <v>1.5155553487893842E-2</v>
      </c>
      <c r="J57" s="106">
        <f t="shared" si="17"/>
        <v>2.2940349441354455E-2</v>
      </c>
      <c r="K57" s="106">
        <f t="shared" si="17"/>
        <v>2.7069682416376185E-2</v>
      </c>
      <c r="L57" s="106">
        <f t="shared" si="17"/>
        <v>2.752258949298261E-2</v>
      </c>
    </row>
    <row r="58" spans="2:12" x14ac:dyDescent="0.3">
      <c r="E58" s="105"/>
      <c r="F58" s="105"/>
      <c r="G58" s="105"/>
      <c r="H58" s="105"/>
      <c r="I58" s="105"/>
    </row>
    <row r="59" spans="2:12" x14ac:dyDescent="0.3">
      <c r="B59" t="s">
        <v>154</v>
      </c>
      <c r="E59" s="94">
        <f>E55</f>
        <v>-5949.8099999999995</v>
      </c>
      <c r="F59" s="94">
        <f t="shared" ref="F59:L59" si="18">F55</f>
        <v>-744.48999999999705</v>
      </c>
      <c r="G59" s="94">
        <f t="shared" si="18"/>
        <v>-792.45000000000186</v>
      </c>
      <c r="H59" s="94">
        <f t="shared" si="18"/>
        <v>315.63867779999714</v>
      </c>
      <c r="I59" s="94">
        <f t="shared" si="18"/>
        <v>555.90569526750267</v>
      </c>
      <c r="J59" s="94">
        <f t="shared" si="18"/>
        <v>1173.5813701126453</v>
      </c>
      <c r="K59" s="94">
        <f t="shared" si="18"/>
        <v>1967.5445125589454</v>
      </c>
      <c r="L59" s="94">
        <f t="shared" si="18"/>
        <v>2901.5021870010719</v>
      </c>
    </row>
    <row r="60" spans="2:12" x14ac:dyDescent="0.3">
      <c r="B60" t="s">
        <v>106</v>
      </c>
      <c r="E60" s="94">
        <f>E38</f>
        <v>20512.18</v>
      </c>
      <c r="F60" s="94">
        <f t="shared" ref="F60:L60" si="19">F38</f>
        <v>23086.22</v>
      </c>
      <c r="G60" s="94">
        <f t="shared" si="19"/>
        <v>25047.68</v>
      </c>
      <c r="H60" s="94">
        <f t="shared" si="19"/>
        <v>28696.811526454789</v>
      </c>
      <c r="I60" s="94">
        <f t="shared" si="19"/>
        <v>32495.540203965582</v>
      </c>
      <c r="J60" s="94">
        <f t="shared" si="19"/>
        <v>38153.645344334</v>
      </c>
      <c r="K60" s="94">
        <f t="shared" si="19"/>
        <v>45719.215465274734</v>
      </c>
      <c r="L60" s="94">
        <f t="shared" si="19"/>
        <v>57209.565736112003</v>
      </c>
    </row>
    <row r="61" spans="2:12" x14ac:dyDescent="0.3">
      <c r="B61" s="62" t="s">
        <v>155</v>
      </c>
      <c r="C61" s="62"/>
      <c r="D61" s="62"/>
      <c r="E61" s="106">
        <f t="shared" ref="E61:L61" si="20">E59/E60</f>
        <v>-0.29006229469515182</v>
      </c>
      <c r="F61" s="106">
        <f t="shared" si="20"/>
        <v>-3.2248241591737281E-2</v>
      </c>
      <c r="G61" s="106">
        <f t="shared" si="20"/>
        <v>-3.1637660653601525E-2</v>
      </c>
      <c r="H61" s="106">
        <f t="shared" si="20"/>
        <v>1.0999085299390097E-2</v>
      </c>
      <c r="I61" s="106">
        <f t="shared" si="20"/>
        <v>1.7107138141979953E-2</v>
      </c>
      <c r="J61" s="106">
        <f t="shared" si="20"/>
        <v>3.0759351027173289E-2</v>
      </c>
      <c r="K61" s="106">
        <f t="shared" si="20"/>
        <v>4.3035395348228603E-2</v>
      </c>
      <c r="L61" s="106">
        <f t="shared" si="20"/>
        <v>5.0717081132632624E-2</v>
      </c>
    </row>
    <row r="62" spans="2:12" x14ac:dyDescent="0.3">
      <c r="E62" s="105"/>
      <c r="F62" s="105"/>
      <c r="G62" s="105"/>
      <c r="H62" s="105"/>
      <c r="I62" s="105"/>
    </row>
    <row r="63" spans="2:12" x14ac:dyDescent="0.3">
      <c r="B63" t="s">
        <v>154</v>
      </c>
      <c r="E63" s="94">
        <f>E59</f>
        <v>-5949.8099999999995</v>
      </c>
      <c r="F63" s="94">
        <f t="shared" ref="F63:L63" si="21">F59</f>
        <v>-744.48999999999705</v>
      </c>
      <c r="G63" s="94">
        <f t="shared" si="21"/>
        <v>-792.45000000000186</v>
      </c>
      <c r="H63" s="94">
        <f t="shared" si="21"/>
        <v>315.63867779999714</v>
      </c>
      <c r="I63" s="94">
        <f t="shared" si="21"/>
        <v>555.90569526750267</v>
      </c>
      <c r="J63" s="94">
        <f t="shared" si="21"/>
        <v>1173.5813701126453</v>
      </c>
      <c r="K63" s="94">
        <f t="shared" si="21"/>
        <v>1967.5445125589454</v>
      </c>
      <c r="L63" s="94">
        <f t="shared" si="21"/>
        <v>2901.5021870010719</v>
      </c>
    </row>
    <row r="64" spans="2:12" x14ac:dyDescent="0.3">
      <c r="B64" t="s">
        <v>144</v>
      </c>
      <c r="E64" s="94">
        <f>E37</f>
        <v>12861.77</v>
      </c>
      <c r="F64" s="94">
        <f t="shared" ref="F64:L64" si="22">F37</f>
        <v>14912.51</v>
      </c>
      <c r="G64" s="94">
        <f t="shared" si="22"/>
        <v>15243.11</v>
      </c>
      <c r="H64" s="94">
        <f t="shared" si="22"/>
        <v>15558.748677799998</v>
      </c>
      <c r="I64" s="94">
        <f t="shared" si="22"/>
        <v>16114.6543730675</v>
      </c>
      <c r="J64" s="94">
        <f t="shared" si="22"/>
        <v>17288.235743180147</v>
      </c>
      <c r="K64" s="94">
        <f t="shared" si="22"/>
        <v>19255.78025573909</v>
      </c>
      <c r="L64" s="94">
        <f t="shared" si="22"/>
        <v>22157.282442740165</v>
      </c>
    </row>
    <row r="65" spans="2:12" x14ac:dyDescent="0.3">
      <c r="B65" s="62" t="s">
        <v>156</v>
      </c>
      <c r="C65" s="62"/>
      <c r="D65" s="62"/>
      <c r="E65" s="106">
        <f t="shared" ref="E65:L65" si="23">E63/E64</f>
        <v>-0.46259651665361762</v>
      </c>
      <c r="F65" s="106">
        <f t="shared" si="23"/>
        <v>-4.9923855876710027E-2</v>
      </c>
      <c r="G65" s="106">
        <f t="shared" si="23"/>
        <v>-5.1987422514172099E-2</v>
      </c>
      <c r="H65" s="106">
        <f t="shared" si="23"/>
        <v>2.0286893524436588E-2</v>
      </c>
      <c r="I65" s="106">
        <f t="shared" si="23"/>
        <v>3.4496904643303461E-2</v>
      </c>
      <c r="J65" s="106">
        <f t="shared" si="23"/>
        <v>6.7883235024464486E-2</v>
      </c>
      <c r="K65" s="106">
        <f t="shared" si="23"/>
        <v>0.10217942282409088</v>
      </c>
      <c r="L65" s="106">
        <f t="shared" si="23"/>
        <v>0.13095027309866464</v>
      </c>
    </row>
    <row r="66" spans="2:12" x14ac:dyDescent="0.3">
      <c r="E66" s="105"/>
      <c r="F66" s="105"/>
      <c r="G66" s="105"/>
      <c r="H66" s="105"/>
      <c r="I66" s="105"/>
    </row>
    <row r="67" spans="2:12" ht="15.6" x14ac:dyDescent="0.3">
      <c r="B67" s="117" t="s">
        <v>157</v>
      </c>
      <c r="C67" s="109"/>
      <c r="D67" s="109"/>
      <c r="E67" s="109"/>
      <c r="F67" s="109"/>
      <c r="G67" s="109"/>
      <c r="H67" s="145"/>
      <c r="I67" s="145"/>
      <c r="J67" s="145"/>
      <c r="K67" s="145"/>
      <c r="L67" s="145"/>
    </row>
    <row r="69" spans="2:12" x14ac:dyDescent="0.3">
      <c r="B69" t="s">
        <v>158</v>
      </c>
      <c r="E69" s="94">
        <f>E56</f>
        <v>13159.76</v>
      </c>
      <c r="F69" s="94">
        <f t="shared" ref="F69:L69" si="24">F56</f>
        <v>16320.12</v>
      </c>
      <c r="G69" s="94">
        <f t="shared" si="24"/>
        <v>20241.41</v>
      </c>
      <c r="H69" s="94">
        <f t="shared" si="24"/>
        <v>26875.591200000003</v>
      </c>
      <c r="I69" s="94">
        <f t="shared" si="24"/>
        <v>36679.999560000004</v>
      </c>
      <c r="J69" s="94">
        <f t="shared" si="24"/>
        <v>51157.955248800004</v>
      </c>
      <c r="K69" s="94">
        <f t="shared" si="24"/>
        <v>72684.432801792005</v>
      </c>
      <c r="L69" s="94">
        <f t="shared" si="24"/>
        <v>105422.57252868096</v>
      </c>
    </row>
    <row r="70" spans="2:12" x14ac:dyDescent="0.3">
      <c r="B70" t="s">
        <v>106</v>
      </c>
      <c r="E70" s="94">
        <f>E60</f>
        <v>20512.18</v>
      </c>
      <c r="F70" s="94">
        <f t="shared" ref="F70:L70" si="25">F60</f>
        <v>23086.22</v>
      </c>
      <c r="G70" s="94">
        <f t="shared" si="25"/>
        <v>25047.68</v>
      </c>
      <c r="H70" s="94">
        <f t="shared" si="25"/>
        <v>28696.811526454789</v>
      </c>
      <c r="I70" s="94">
        <f t="shared" si="25"/>
        <v>32495.540203965582</v>
      </c>
      <c r="J70" s="94">
        <f t="shared" si="25"/>
        <v>38153.645344334</v>
      </c>
      <c r="K70" s="94">
        <f t="shared" si="25"/>
        <v>45719.215465274734</v>
      </c>
      <c r="L70" s="94">
        <f t="shared" si="25"/>
        <v>57209.565736112003</v>
      </c>
    </row>
    <row r="71" spans="2:12" x14ac:dyDescent="0.3">
      <c r="B71" s="62" t="s">
        <v>159</v>
      </c>
      <c r="C71" s="62"/>
      <c r="D71" s="62"/>
      <c r="E71" s="102">
        <f t="shared" ref="E71:L71" si="26">E69/E70</f>
        <v>0.64155833265893725</v>
      </c>
      <c r="F71" s="102">
        <f t="shared" si="26"/>
        <v>0.70692040533270495</v>
      </c>
      <c r="G71" s="102">
        <f t="shared" si="26"/>
        <v>0.80811516276158113</v>
      </c>
      <c r="H71" s="102">
        <f t="shared" si="26"/>
        <v>0.93653579510825258</v>
      </c>
      <c r="I71" s="102">
        <f t="shared" si="26"/>
        <v>1.1287702660048031</v>
      </c>
      <c r="J71" s="102">
        <f t="shared" si="26"/>
        <v>1.3408405615532411</v>
      </c>
      <c r="K71" s="102">
        <f t="shared" si="26"/>
        <v>1.5898005261485348</v>
      </c>
      <c r="L71" s="102">
        <f t="shared" si="26"/>
        <v>1.8427437994366</v>
      </c>
    </row>
    <row r="72" spans="2:12" x14ac:dyDescent="0.3">
      <c r="B72" s="20"/>
      <c r="C72" s="20"/>
      <c r="D72" s="20"/>
      <c r="E72" s="105"/>
      <c r="F72" s="105"/>
      <c r="G72" s="105"/>
      <c r="H72" s="105"/>
      <c r="I72" s="105"/>
    </row>
    <row r="73" spans="2:12" x14ac:dyDescent="0.3">
      <c r="B73" t="s">
        <v>160</v>
      </c>
      <c r="C73" s="20"/>
      <c r="D73" s="20"/>
      <c r="E73" s="94">
        <f>'3 Statement Model'!D13-'3 Statement Model'!C13</f>
        <v>13159.76</v>
      </c>
      <c r="F73" s="94">
        <f>'3 Statement Model'!E13-'3 Statement Model'!D13</f>
        <v>3160.3600000000006</v>
      </c>
      <c r="G73" s="94">
        <f>'3 Statement Model'!F13-'3 Statement Model'!E13</f>
        <v>3921.2899999999991</v>
      </c>
      <c r="H73" s="94">
        <f>'3 Statement Model'!G13-'3 Statement Model'!F13</f>
        <v>6634.1812000000027</v>
      </c>
      <c r="I73" s="94">
        <f>'3 Statement Model'!H13-'3 Statement Model'!G13</f>
        <v>9804.4083600000013</v>
      </c>
      <c r="J73" s="94">
        <f>'3 Statement Model'!I13-'3 Statement Model'!H13</f>
        <v>14477.955688800001</v>
      </c>
      <c r="K73" s="94">
        <f>'3 Statement Model'!J13-'3 Statement Model'!I13</f>
        <v>21526.477552992001</v>
      </c>
      <c r="L73" s="94">
        <f>'3 Statement Model'!K13-'3 Statement Model'!J13</f>
        <v>32738.139726888956</v>
      </c>
    </row>
    <row r="74" spans="2:12" x14ac:dyDescent="0.3">
      <c r="B74" s="108" t="s">
        <v>161</v>
      </c>
      <c r="C74" s="28"/>
      <c r="D74" s="20"/>
      <c r="E74" s="94">
        <f>'3 Statement Model'!D62-'3 Statement Model'!C62</f>
        <v>20512.18</v>
      </c>
      <c r="F74" s="94">
        <f>'3 Statement Model'!E62-'3 Statement Model'!D62</f>
        <v>2574.0400000000009</v>
      </c>
      <c r="G74" s="94">
        <f>'3 Statement Model'!F62-'3 Statement Model'!E62</f>
        <v>1961.4599999999991</v>
      </c>
      <c r="H74" s="94">
        <f>'3 Statement Model'!G62-'3 Statement Model'!F62</f>
        <v>3649.1315264547884</v>
      </c>
      <c r="I74" s="94">
        <f>'3 Statement Model'!H62-'3 Statement Model'!G62</f>
        <v>3798.7286775107932</v>
      </c>
      <c r="J74" s="94">
        <f>'3 Statement Model'!I62-'3 Statement Model'!H62</f>
        <v>5658.1051403684178</v>
      </c>
      <c r="K74" s="94">
        <f>'3 Statement Model'!J62-'3 Statement Model'!I62</f>
        <v>7565.5701209407343</v>
      </c>
      <c r="L74" s="94">
        <f>'3 Statement Model'!K62-'3 Statement Model'!J62</f>
        <v>11490.350270837269</v>
      </c>
    </row>
    <row r="75" spans="2:12" x14ac:dyDescent="0.3">
      <c r="B75" s="20" t="s">
        <v>162</v>
      </c>
      <c r="C75" s="20"/>
      <c r="D75" s="62"/>
      <c r="E75" s="102">
        <f t="shared" ref="E75:L75" si="27">E73/E74</f>
        <v>0.64155833265893725</v>
      </c>
      <c r="F75" s="102">
        <f t="shared" si="27"/>
        <v>1.2277820080496027</v>
      </c>
      <c r="G75" s="102">
        <f t="shared" si="27"/>
        <v>1.9991689863672983</v>
      </c>
      <c r="H75" s="102">
        <f t="shared" si="27"/>
        <v>1.8180164655356381</v>
      </c>
      <c r="I75" s="102">
        <f t="shared" si="27"/>
        <v>2.5809709490556645</v>
      </c>
      <c r="J75" s="102">
        <f t="shared" si="27"/>
        <v>2.55879933822815</v>
      </c>
      <c r="K75" s="102">
        <f t="shared" si="27"/>
        <v>2.8453212657971254</v>
      </c>
      <c r="L75" s="102">
        <f t="shared" si="27"/>
        <v>2.8491855300511584</v>
      </c>
    </row>
    <row r="76" spans="2:12" x14ac:dyDescent="0.3">
      <c r="C76" s="20"/>
      <c r="D76" s="20"/>
      <c r="E76" s="107"/>
      <c r="F76" s="107"/>
      <c r="G76" s="107"/>
      <c r="H76" s="107"/>
      <c r="I76" s="107"/>
    </row>
    <row r="77" spans="2:12" ht="15.6" x14ac:dyDescent="0.3">
      <c r="B77" s="117" t="s">
        <v>163</v>
      </c>
      <c r="C77" s="109"/>
      <c r="D77" s="109"/>
      <c r="E77" s="109"/>
      <c r="F77" s="109"/>
      <c r="G77" s="109"/>
      <c r="H77" s="145"/>
      <c r="I77" s="145"/>
      <c r="J77" s="145"/>
      <c r="K77" s="145"/>
      <c r="L77" s="145"/>
    </row>
    <row r="79" spans="2:12" x14ac:dyDescent="0.3">
      <c r="B79" t="s">
        <v>143</v>
      </c>
      <c r="E79" s="94">
        <f>E29</f>
        <v>3159.15</v>
      </c>
      <c r="F79" s="94">
        <f t="shared" ref="F79:L79" si="28">F29</f>
        <v>3346.17</v>
      </c>
      <c r="G79" s="94">
        <f t="shared" si="28"/>
        <v>3447.8499999999995</v>
      </c>
      <c r="H79" s="94">
        <f t="shared" si="28"/>
        <v>4583.8935125999942</v>
      </c>
      <c r="I79" s="94">
        <f t="shared" si="28"/>
        <v>5868.7999296000007</v>
      </c>
      <c r="J79" s="94">
        <f t="shared" si="28"/>
        <v>7211.8419009843892</v>
      </c>
      <c r="K79" s="94">
        <f t="shared" si="28"/>
        <v>8859.8629912386205</v>
      </c>
      <c r="L79" s="94">
        <f t="shared" si="28"/>
        <v>11596.482978154905</v>
      </c>
    </row>
    <row r="80" spans="2:12" x14ac:dyDescent="0.3">
      <c r="B80" t="s">
        <v>90</v>
      </c>
      <c r="E80" s="94">
        <f>E47</f>
        <v>-2931.67</v>
      </c>
      <c r="F80" s="94">
        <f t="shared" ref="F80:L80" si="29">F47</f>
        <v>-599.68999999999687</v>
      </c>
      <c r="G80" s="94">
        <f t="shared" si="29"/>
        <v>-665.33000000000175</v>
      </c>
      <c r="H80" s="94">
        <f t="shared" si="29"/>
        <v>403.13386799999716</v>
      </c>
      <c r="I80" s="94">
        <f t="shared" si="29"/>
        <v>916.99998900000355</v>
      </c>
      <c r="J80" s="94">
        <f t="shared" si="29"/>
        <v>1790.5284337079938</v>
      </c>
      <c r="K80" s="94">
        <f t="shared" si="29"/>
        <v>2907.3773120716796</v>
      </c>
      <c r="L80" s="94">
        <f t="shared" si="29"/>
        <v>4216.9029011472303</v>
      </c>
    </row>
    <row r="81" spans="2:12" x14ac:dyDescent="0.3">
      <c r="B81" s="62" t="s">
        <v>164</v>
      </c>
      <c r="C81" s="62"/>
      <c r="D81" s="62"/>
      <c r="E81" s="106">
        <f t="shared" ref="E81:L81" si="30">E79/E80</f>
        <v>-1.0775939993246171</v>
      </c>
      <c r="F81" s="106">
        <f t="shared" si="30"/>
        <v>-5.5798329136720932</v>
      </c>
      <c r="G81" s="106">
        <f t="shared" si="30"/>
        <v>-5.1821652413088097</v>
      </c>
      <c r="H81" s="106">
        <f t="shared" si="30"/>
        <v>11.370648502794676</v>
      </c>
      <c r="I81" s="106">
        <f t="shared" si="30"/>
        <v>6.3999999999999764</v>
      </c>
      <c r="J81" s="106">
        <f t="shared" si="30"/>
        <v>4.0277728994503779</v>
      </c>
      <c r="K81" s="106">
        <f t="shared" si="30"/>
        <v>3.0473729551550499</v>
      </c>
      <c r="L81" s="106">
        <f t="shared" si="30"/>
        <v>2.7500000000000053</v>
      </c>
    </row>
    <row r="82" spans="2:12" x14ac:dyDescent="0.3">
      <c r="B82" s="20"/>
      <c r="C82" s="20"/>
      <c r="D82" s="20"/>
      <c r="E82" s="105"/>
      <c r="F82" s="105"/>
      <c r="G82" s="105"/>
      <c r="H82" s="105"/>
      <c r="I82" s="105"/>
    </row>
    <row r="83" spans="2:12" x14ac:dyDescent="0.3">
      <c r="B83" t="s">
        <v>93</v>
      </c>
      <c r="E83" s="94">
        <f>E51</f>
        <v>-3691.45</v>
      </c>
      <c r="F83" s="94">
        <f t="shared" ref="F83:L83" si="31">F51</f>
        <v>-951.88999999999692</v>
      </c>
      <c r="G83" s="94">
        <f t="shared" si="31"/>
        <v>-1028.3000000000018</v>
      </c>
      <c r="H83" s="94">
        <f t="shared" si="31"/>
        <v>-87.495190200002867</v>
      </c>
      <c r="I83" s="94">
        <f t="shared" si="31"/>
        <v>252.14093289000346</v>
      </c>
      <c r="J83" s="94">
        <f t="shared" si="31"/>
        <v>882.66909016619377</v>
      </c>
      <c r="K83" s="94">
        <f t="shared" si="31"/>
        <v>1654.2669127213676</v>
      </c>
      <c r="L83" s="94">
        <f t="shared" si="31"/>
        <v>2463.0352822856835</v>
      </c>
    </row>
    <row r="84" spans="2:12" x14ac:dyDescent="0.3">
      <c r="B84" t="s">
        <v>120</v>
      </c>
      <c r="E84" s="94">
        <f>'3 Statement Model'!D33</f>
        <v>233.14</v>
      </c>
      <c r="F84" s="94">
        <f>'3 Statement Model'!E33</f>
        <v>220.69</v>
      </c>
      <c r="G84" s="94">
        <f>'3 Statement Model'!F33</f>
        <v>263.93</v>
      </c>
      <c r="H84" s="94">
        <f>'3 Statement Model'!G33</f>
        <v>403.13386800000001</v>
      </c>
      <c r="I84" s="94">
        <f>'3 Statement Model'!H33</f>
        <v>550.19999340000004</v>
      </c>
      <c r="J84" s="94">
        <f>'3 Statement Model'!I33</f>
        <v>767.3693287320001</v>
      </c>
      <c r="K84" s="94">
        <f>'3 Statement Model'!J33</f>
        <v>1090.2664920268801</v>
      </c>
      <c r="L84" s="94">
        <f>'3 Statement Model'!K33</f>
        <v>1581.3385879302145</v>
      </c>
    </row>
    <row r="85" spans="2:12" x14ac:dyDescent="0.3">
      <c r="B85" s="62" t="s">
        <v>165</v>
      </c>
      <c r="C85" s="62"/>
      <c r="D85" s="62"/>
      <c r="E85" s="106">
        <f t="shared" ref="E85:L85" si="32">E83/E84</f>
        <v>-15.833619284550055</v>
      </c>
      <c r="F85" s="106">
        <f t="shared" si="32"/>
        <v>-4.3132448230549505</v>
      </c>
      <c r="G85" s="106">
        <f t="shared" si="32"/>
        <v>-3.8961088167317159</v>
      </c>
      <c r="H85" s="106">
        <f t="shared" si="32"/>
        <v>-0.21703755785659484</v>
      </c>
      <c r="I85" s="106">
        <f t="shared" si="32"/>
        <v>0.45827142114611924</v>
      </c>
      <c r="J85" s="106">
        <f t="shared" si="32"/>
        <v>1.1502532836759514</v>
      </c>
      <c r="K85" s="106">
        <f t="shared" si="32"/>
        <v>1.5173051036778835</v>
      </c>
      <c r="L85" s="106">
        <f t="shared" si="32"/>
        <v>1.5575635104873433</v>
      </c>
    </row>
    <row r="86" spans="2:12" x14ac:dyDescent="0.3">
      <c r="B86" s="20"/>
      <c r="C86" s="20"/>
      <c r="D86" s="20"/>
      <c r="E86" s="105"/>
      <c r="F86" s="105"/>
      <c r="G86" s="105"/>
      <c r="H86" s="105"/>
      <c r="I86" s="105"/>
    </row>
  </sheetData>
  <mergeCells count="2">
    <mergeCell ref="E8:G8"/>
    <mergeCell ref="H8:L8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 moveWithCells="1">
                  <from>
                    <xdr:col>5</xdr:col>
                    <xdr:colOff>60960</xdr:colOff>
                    <xdr:row>4</xdr:row>
                    <xdr:rowOff>45720</xdr:rowOff>
                  </from>
                  <to>
                    <xdr:col>6</xdr:col>
                    <xdr:colOff>701040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9956-0C9B-4395-B913-F80650A0F548}">
  <sheetPr>
    <tabColor rgb="FF6600CC"/>
  </sheetPr>
  <dimension ref="B2:E60"/>
  <sheetViews>
    <sheetView showGridLines="0" workbookViewId="0">
      <selection activeCell="B27" sqref="B27"/>
    </sheetView>
  </sheetViews>
  <sheetFormatPr defaultRowHeight="14.4" x14ac:dyDescent="0.3"/>
  <cols>
    <col min="1" max="1" width="1.88671875" customWidth="1"/>
    <col min="2" max="2" width="69.21875" customWidth="1"/>
    <col min="3" max="5" width="10.77734375" customWidth="1"/>
  </cols>
  <sheetData>
    <row r="2" spans="2:5" ht="21" x14ac:dyDescent="0.4">
      <c r="B2" s="116" t="str">
        <f>'Control Sheet'!B2</f>
        <v>Shiprocket</v>
      </c>
    </row>
    <row r="3" spans="2:5" x14ac:dyDescent="0.3">
      <c r="B3" s="20" t="s">
        <v>98</v>
      </c>
    </row>
    <row r="4" spans="2:5" x14ac:dyDescent="0.3">
      <c r="B4" s="118" t="s">
        <v>318</v>
      </c>
    </row>
    <row r="6" spans="2:5" x14ac:dyDescent="0.3">
      <c r="B6" s="109" t="s">
        <v>294</v>
      </c>
      <c r="C6" s="110">
        <v>2024</v>
      </c>
      <c r="D6" s="110">
        <f>C6+1</f>
        <v>2025</v>
      </c>
      <c r="E6" s="110">
        <f t="shared" ref="E6" si="0">D6+1</f>
        <v>2026</v>
      </c>
    </row>
    <row r="8" spans="2:5" x14ac:dyDescent="0.3">
      <c r="B8" s="113" t="s">
        <v>166</v>
      </c>
      <c r="C8" s="114"/>
      <c r="D8" s="114"/>
      <c r="E8" s="114"/>
    </row>
    <row r="9" spans="2:5" x14ac:dyDescent="0.3">
      <c r="B9" t="s">
        <v>167</v>
      </c>
    </row>
    <row r="10" spans="2:5" x14ac:dyDescent="0.3">
      <c r="B10" t="s">
        <v>168</v>
      </c>
      <c r="C10" s="86">
        <v>267.57</v>
      </c>
      <c r="D10" s="86">
        <v>169.06</v>
      </c>
      <c r="E10" s="86">
        <v>245.04</v>
      </c>
    </row>
    <row r="11" spans="2:5" x14ac:dyDescent="0.3">
      <c r="B11" t="s">
        <v>169</v>
      </c>
      <c r="C11" s="86">
        <v>9153.15</v>
      </c>
      <c r="D11" s="86">
        <v>9153.15</v>
      </c>
      <c r="E11" s="86">
        <v>9153.15</v>
      </c>
    </row>
    <row r="12" spans="2:5" x14ac:dyDescent="0.3">
      <c r="B12" t="s">
        <v>170</v>
      </c>
      <c r="C12" s="86">
        <v>37.840000000000003</v>
      </c>
      <c r="D12" s="86">
        <v>7.57</v>
      </c>
      <c r="E12" s="86">
        <v>4.91</v>
      </c>
    </row>
    <row r="13" spans="2:5" x14ac:dyDescent="0.3">
      <c r="B13" t="s">
        <v>171</v>
      </c>
      <c r="C13" s="86">
        <v>960.73</v>
      </c>
      <c r="D13" s="86">
        <v>810.77</v>
      </c>
      <c r="E13" s="86">
        <v>885.54</v>
      </c>
    </row>
    <row r="14" spans="2:5" x14ac:dyDescent="0.3">
      <c r="B14" t="s">
        <v>172</v>
      </c>
      <c r="C14" s="86">
        <v>0</v>
      </c>
      <c r="D14" s="86">
        <v>0</v>
      </c>
      <c r="E14" s="86">
        <v>0</v>
      </c>
    </row>
    <row r="15" spans="2:5" x14ac:dyDescent="0.3">
      <c r="B15" t="s">
        <v>295</v>
      </c>
      <c r="C15" s="86"/>
      <c r="D15" s="86"/>
      <c r="E15" s="86"/>
    </row>
    <row r="16" spans="2:5" x14ac:dyDescent="0.3">
      <c r="B16" t="s">
        <v>296</v>
      </c>
      <c r="C16" s="86">
        <v>0</v>
      </c>
      <c r="D16" s="86">
        <v>25</v>
      </c>
      <c r="E16" s="86">
        <v>155.88</v>
      </c>
    </row>
    <row r="17" spans="2:5" x14ac:dyDescent="0.3">
      <c r="B17" t="s">
        <v>301</v>
      </c>
      <c r="C17" s="86">
        <v>2385.6799999999998</v>
      </c>
      <c r="D17" s="86">
        <v>54.88</v>
      </c>
      <c r="E17" s="86">
        <v>4429.3900000000003</v>
      </c>
    </row>
    <row r="18" spans="2:5" x14ac:dyDescent="0.3">
      <c r="B18" t="s">
        <v>173</v>
      </c>
      <c r="C18" s="86">
        <v>685.58</v>
      </c>
      <c r="D18" s="86">
        <v>319.55</v>
      </c>
      <c r="E18" s="86">
        <v>8.15</v>
      </c>
    </row>
    <row r="19" spans="2:5" x14ac:dyDescent="0.3">
      <c r="B19" t="s">
        <v>174</v>
      </c>
      <c r="C19" s="86">
        <v>13490.55</v>
      </c>
      <c r="D19" s="86">
        <v>10539.98</v>
      </c>
      <c r="E19" s="86">
        <v>14882.06</v>
      </c>
    </row>
    <row r="20" spans="2:5" x14ac:dyDescent="0.3">
      <c r="C20" s="86"/>
      <c r="D20" s="86"/>
      <c r="E20" s="86"/>
    </row>
    <row r="21" spans="2:5" x14ac:dyDescent="0.3">
      <c r="B21" t="s">
        <v>175</v>
      </c>
      <c r="C21" s="86"/>
      <c r="D21" s="86"/>
      <c r="E21" s="86"/>
    </row>
    <row r="22" spans="2:5" x14ac:dyDescent="0.3">
      <c r="B22" t="s">
        <v>176</v>
      </c>
      <c r="C22" s="86">
        <v>14.72</v>
      </c>
      <c r="D22" s="86">
        <v>17</v>
      </c>
      <c r="E22" s="86">
        <v>26.03</v>
      </c>
    </row>
    <row r="23" spans="2:5" x14ac:dyDescent="0.3">
      <c r="B23" t="s">
        <v>295</v>
      </c>
      <c r="C23" s="86"/>
      <c r="D23" s="86"/>
      <c r="E23" s="86"/>
    </row>
    <row r="24" spans="2:5" x14ac:dyDescent="0.3">
      <c r="B24" t="s">
        <v>296</v>
      </c>
      <c r="C24" s="86">
        <v>145.91999999999999</v>
      </c>
      <c r="D24" s="86">
        <v>257.63</v>
      </c>
      <c r="E24" s="86">
        <v>0</v>
      </c>
    </row>
    <row r="25" spans="2:5" x14ac:dyDescent="0.3">
      <c r="B25" t="s">
        <v>297</v>
      </c>
      <c r="C25" s="86">
        <v>1170.5899999999999</v>
      </c>
      <c r="D25" s="86">
        <v>1470.26</v>
      </c>
      <c r="E25" s="86">
        <v>2364.9499999999998</v>
      </c>
    </row>
    <row r="26" spans="2:5" x14ac:dyDescent="0.3">
      <c r="B26" t="s">
        <v>298</v>
      </c>
      <c r="C26" s="86">
        <v>842.96</v>
      </c>
      <c r="D26" s="86">
        <v>1264.4000000000001</v>
      </c>
      <c r="E26" s="86">
        <v>1847.43</v>
      </c>
    </row>
    <row r="27" spans="2:5" x14ac:dyDescent="0.3">
      <c r="B27" t="s">
        <v>299</v>
      </c>
      <c r="C27" s="86">
        <v>1687.75</v>
      </c>
      <c r="D27" s="86">
        <v>3753.08</v>
      </c>
      <c r="E27" s="86">
        <v>34.020000000000003</v>
      </c>
    </row>
    <row r="28" spans="2:5" x14ac:dyDescent="0.3">
      <c r="B28" t="s">
        <v>300</v>
      </c>
      <c r="C28" s="86">
        <v>0</v>
      </c>
      <c r="D28" s="86">
        <v>260</v>
      </c>
      <c r="E28" s="86">
        <v>300</v>
      </c>
    </row>
    <row r="29" spans="2:5" x14ac:dyDescent="0.3">
      <c r="B29" t="s">
        <v>301</v>
      </c>
      <c r="C29" s="86">
        <v>2293.56</v>
      </c>
      <c r="D29" s="86">
        <v>4181.1499999999996</v>
      </c>
      <c r="E29" s="86">
        <v>3730.6</v>
      </c>
    </row>
    <row r="30" spans="2:5" x14ac:dyDescent="0.3">
      <c r="B30" t="s">
        <v>177</v>
      </c>
      <c r="C30" s="86">
        <v>307.85000000000002</v>
      </c>
      <c r="D30" s="86">
        <v>241.51</v>
      </c>
      <c r="E30" s="86">
        <v>421.38</v>
      </c>
    </row>
    <row r="31" spans="2:5" x14ac:dyDescent="0.3">
      <c r="B31" t="s">
        <v>178</v>
      </c>
      <c r="C31" s="86">
        <v>558.28</v>
      </c>
      <c r="D31" s="86">
        <v>1101.21</v>
      </c>
      <c r="E31" s="86">
        <v>1441.21</v>
      </c>
    </row>
    <row r="32" spans="2:5" x14ac:dyDescent="0.3">
      <c r="B32" t="s">
        <v>179</v>
      </c>
      <c r="C32" s="86">
        <v>7021.63</v>
      </c>
      <c r="D32" s="86">
        <v>12546.24</v>
      </c>
      <c r="E32" s="86">
        <v>10165.620000000001</v>
      </c>
    </row>
    <row r="33" spans="2:5" x14ac:dyDescent="0.3">
      <c r="C33" s="86"/>
      <c r="D33" s="86"/>
      <c r="E33" s="86"/>
    </row>
    <row r="34" spans="2:5" s="20" customFormat="1" ht="15" thickBot="1" x14ac:dyDescent="0.35">
      <c r="B34" s="30" t="s">
        <v>180</v>
      </c>
      <c r="C34" s="112">
        <v>20512.18</v>
      </c>
      <c r="D34" s="112">
        <v>23086.22</v>
      </c>
      <c r="E34" s="112">
        <v>25047.68</v>
      </c>
    </row>
    <row r="35" spans="2:5" x14ac:dyDescent="0.3">
      <c r="C35" s="86"/>
      <c r="D35" s="86"/>
      <c r="E35" s="86"/>
    </row>
    <row r="36" spans="2:5" x14ac:dyDescent="0.3">
      <c r="B36" s="113" t="s">
        <v>181</v>
      </c>
      <c r="C36" s="115"/>
      <c r="D36" s="115"/>
      <c r="E36" s="115"/>
    </row>
    <row r="37" spans="2:5" x14ac:dyDescent="0.3">
      <c r="B37" t="s">
        <v>113</v>
      </c>
      <c r="C37" s="86">
        <v>5.18</v>
      </c>
      <c r="D37" s="86">
        <v>6.36</v>
      </c>
      <c r="E37" s="86">
        <v>6362.5</v>
      </c>
    </row>
    <row r="38" spans="2:5" x14ac:dyDescent="0.3">
      <c r="B38" t="s">
        <v>182</v>
      </c>
      <c r="C38" s="86">
        <v>577.26</v>
      </c>
      <c r="D38" s="86">
        <v>595.24</v>
      </c>
      <c r="E38" s="86">
        <v>0</v>
      </c>
    </row>
    <row r="39" spans="2:5" x14ac:dyDescent="0.3">
      <c r="B39" t="s">
        <v>114</v>
      </c>
      <c r="C39" s="86">
        <v>12279.33</v>
      </c>
      <c r="D39" s="86">
        <v>14310.91</v>
      </c>
      <c r="E39" s="86">
        <v>8880.61</v>
      </c>
    </row>
    <row r="40" spans="2:5" x14ac:dyDescent="0.3">
      <c r="B40" t="s">
        <v>183</v>
      </c>
      <c r="C40" s="86">
        <v>0</v>
      </c>
      <c r="D40" s="86">
        <v>0</v>
      </c>
      <c r="E40" s="86">
        <v>0</v>
      </c>
    </row>
    <row r="41" spans="2:5" x14ac:dyDescent="0.3">
      <c r="B41" t="s">
        <v>184</v>
      </c>
      <c r="C41" s="86">
        <v>12861.77</v>
      </c>
      <c r="D41" s="86">
        <v>14912.51</v>
      </c>
      <c r="E41" s="86">
        <v>15243.11</v>
      </c>
    </row>
    <row r="42" spans="2:5" x14ac:dyDescent="0.3">
      <c r="C42" s="86"/>
      <c r="D42" s="86"/>
      <c r="E42" s="86"/>
    </row>
    <row r="43" spans="2:5" x14ac:dyDescent="0.3">
      <c r="B43" t="s">
        <v>185</v>
      </c>
      <c r="C43" s="86"/>
      <c r="D43" s="86"/>
      <c r="E43" s="86"/>
    </row>
    <row r="44" spans="2:5" x14ac:dyDescent="0.3">
      <c r="B44" t="s">
        <v>302</v>
      </c>
    </row>
    <row r="45" spans="2:5" x14ac:dyDescent="0.3">
      <c r="B45" t="s">
        <v>303</v>
      </c>
      <c r="C45" s="86">
        <v>845.75</v>
      </c>
      <c r="D45" s="86">
        <v>732.37</v>
      </c>
      <c r="E45" s="86">
        <v>752.24</v>
      </c>
    </row>
    <row r="46" spans="2:5" x14ac:dyDescent="0.3">
      <c r="B46" t="s">
        <v>67</v>
      </c>
      <c r="C46" s="86">
        <v>53.06</v>
      </c>
      <c r="D46" s="86">
        <v>84.81</v>
      </c>
      <c r="E46" s="86">
        <v>123.91</v>
      </c>
    </row>
    <row r="47" spans="2:5" x14ac:dyDescent="0.3">
      <c r="B47" t="s">
        <v>186</v>
      </c>
      <c r="C47" s="86">
        <v>898.81</v>
      </c>
      <c r="D47" s="86">
        <v>817.18</v>
      </c>
      <c r="E47" s="86">
        <v>876.15</v>
      </c>
    </row>
    <row r="48" spans="2:5" x14ac:dyDescent="0.3">
      <c r="C48" s="86"/>
      <c r="D48" s="86"/>
      <c r="E48" s="86"/>
    </row>
    <row r="49" spans="2:5" x14ac:dyDescent="0.3">
      <c r="B49" t="s">
        <v>187</v>
      </c>
      <c r="C49" s="86"/>
      <c r="D49" s="86"/>
      <c r="E49" s="86"/>
    </row>
    <row r="50" spans="2:5" x14ac:dyDescent="0.3">
      <c r="B50" t="s">
        <v>302</v>
      </c>
      <c r="C50" s="86"/>
      <c r="D50" s="86"/>
      <c r="E50" s="86"/>
    </row>
    <row r="51" spans="2:5" x14ac:dyDescent="0.3">
      <c r="B51" t="s">
        <v>304</v>
      </c>
      <c r="C51" s="86">
        <v>2132.75</v>
      </c>
      <c r="D51" s="86">
        <v>2446.65</v>
      </c>
      <c r="E51" s="86">
        <v>2420.12</v>
      </c>
    </row>
    <row r="52" spans="2:5" x14ac:dyDescent="0.3">
      <c r="B52" t="s">
        <v>305</v>
      </c>
      <c r="C52" s="86">
        <v>180.65</v>
      </c>
      <c r="D52" s="86">
        <v>167.15</v>
      </c>
      <c r="E52" s="86">
        <v>275.49</v>
      </c>
    </row>
    <row r="53" spans="2:5" x14ac:dyDescent="0.3">
      <c r="B53" t="s">
        <v>188</v>
      </c>
      <c r="C53" s="86">
        <v>98.82</v>
      </c>
      <c r="D53" s="86">
        <v>113.74</v>
      </c>
      <c r="E53" s="86">
        <v>174</v>
      </c>
    </row>
    <row r="54" spans="2:5" x14ac:dyDescent="0.3">
      <c r="B54" t="s">
        <v>189</v>
      </c>
      <c r="C54" s="86">
        <v>1921.42</v>
      </c>
      <c r="D54" s="86">
        <v>2180.21</v>
      </c>
      <c r="E54" s="86">
        <v>2547.62</v>
      </c>
    </row>
    <row r="55" spans="2:5" x14ac:dyDescent="0.3">
      <c r="B55" t="s">
        <v>301</v>
      </c>
      <c r="C55" s="86">
        <v>1179.22</v>
      </c>
      <c r="D55" s="86">
        <v>998.08</v>
      </c>
      <c r="E55" s="86">
        <v>1501.07</v>
      </c>
    </row>
    <row r="56" spans="2:5" x14ac:dyDescent="0.3">
      <c r="B56" t="s">
        <v>67</v>
      </c>
      <c r="C56" s="86">
        <v>90.63</v>
      </c>
      <c r="D56" s="86">
        <v>115.03</v>
      </c>
      <c r="E56" s="86">
        <v>156.59</v>
      </c>
    </row>
    <row r="57" spans="2:5" x14ac:dyDescent="0.3">
      <c r="B57" t="s">
        <v>190</v>
      </c>
      <c r="C57" s="86">
        <v>1148.1099999999999</v>
      </c>
      <c r="D57" s="86">
        <v>1335.67</v>
      </c>
      <c r="E57" s="86">
        <v>1853.53</v>
      </c>
    </row>
    <row r="58" spans="2:5" x14ac:dyDescent="0.3">
      <c r="B58" t="s">
        <v>191</v>
      </c>
      <c r="C58" s="86">
        <v>6751.6</v>
      </c>
      <c r="D58" s="86">
        <v>7356.53</v>
      </c>
      <c r="E58" s="86">
        <v>8928.42</v>
      </c>
    </row>
    <row r="59" spans="2:5" x14ac:dyDescent="0.3">
      <c r="C59" s="86"/>
      <c r="D59" s="86"/>
      <c r="E59" s="86"/>
    </row>
    <row r="60" spans="2:5" ht="15" thickBot="1" x14ac:dyDescent="0.35">
      <c r="B60" s="30" t="s">
        <v>192</v>
      </c>
      <c r="C60" s="112">
        <v>20512.18</v>
      </c>
      <c r="D60" s="112">
        <v>23086.22</v>
      </c>
      <c r="E60" s="112">
        <v>25047.68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65F3-428D-4B24-ABFB-AAF9A8E2ED02}">
  <sheetPr>
    <tabColor rgb="FF6600CC"/>
  </sheetPr>
  <dimension ref="B2:E55"/>
  <sheetViews>
    <sheetView showGridLines="0" workbookViewId="0">
      <selection activeCell="C17" sqref="C17"/>
    </sheetView>
  </sheetViews>
  <sheetFormatPr defaultRowHeight="14.4" x14ac:dyDescent="0.3"/>
  <cols>
    <col min="1" max="1" width="1.88671875" customWidth="1"/>
    <col min="2" max="2" width="68.77734375" bestFit="1" customWidth="1"/>
    <col min="3" max="3" width="9.21875" bestFit="1" customWidth="1"/>
    <col min="4" max="5" width="9.109375" bestFit="1" customWidth="1"/>
  </cols>
  <sheetData>
    <row r="2" spans="2:5" ht="21" x14ac:dyDescent="0.4">
      <c r="B2" s="116" t="str">
        <f>'Control Sheet'!B2</f>
        <v>Shiprocket</v>
      </c>
    </row>
    <row r="3" spans="2:5" x14ac:dyDescent="0.3">
      <c r="B3" s="20" t="s">
        <v>86</v>
      </c>
    </row>
    <row r="4" spans="2:5" x14ac:dyDescent="0.3">
      <c r="B4" s="118" t="s">
        <v>318</v>
      </c>
    </row>
    <row r="5" spans="2:5" x14ac:dyDescent="0.3">
      <c r="B5" s="118"/>
    </row>
    <row r="6" spans="2:5" x14ac:dyDescent="0.3">
      <c r="B6" s="109" t="s">
        <v>294</v>
      </c>
      <c r="C6" s="110">
        <v>2024</v>
      </c>
      <c r="D6" s="110">
        <f>C6+1</f>
        <v>2025</v>
      </c>
      <c r="E6" s="110">
        <f t="shared" ref="E6" si="0">D6+1</f>
        <v>2026</v>
      </c>
    </row>
    <row r="8" spans="2:5" x14ac:dyDescent="0.3">
      <c r="B8" s="113" t="s">
        <v>193</v>
      </c>
      <c r="C8" s="113"/>
      <c r="D8" s="113"/>
      <c r="E8" s="113"/>
    </row>
    <row r="9" spans="2:5" x14ac:dyDescent="0.3">
      <c r="B9" t="s">
        <v>194</v>
      </c>
      <c r="C9" s="86">
        <v>13159.76</v>
      </c>
      <c r="D9" s="86">
        <v>16320.12</v>
      </c>
      <c r="E9" s="86">
        <v>20241.41</v>
      </c>
    </row>
    <row r="10" spans="2:5" x14ac:dyDescent="0.3">
      <c r="B10" t="s">
        <v>195</v>
      </c>
      <c r="C10" s="86">
        <v>418.57</v>
      </c>
      <c r="D10" s="86">
        <v>428.09</v>
      </c>
      <c r="E10" s="86">
        <v>532.79999999999995</v>
      </c>
    </row>
    <row r="11" spans="2:5" x14ac:dyDescent="0.3">
      <c r="B11" t="s">
        <v>196</v>
      </c>
      <c r="C11" s="86">
        <v>13578.33</v>
      </c>
      <c r="D11" s="86">
        <v>16748.21</v>
      </c>
      <c r="E11" s="86">
        <v>20774.21</v>
      </c>
    </row>
    <row r="12" spans="2:5" x14ac:dyDescent="0.3">
      <c r="C12" s="86"/>
      <c r="D12" s="86"/>
      <c r="E12" s="86"/>
    </row>
    <row r="13" spans="2:5" x14ac:dyDescent="0.3">
      <c r="B13" s="113" t="s">
        <v>197</v>
      </c>
      <c r="C13" s="113"/>
      <c r="D13" s="113"/>
      <c r="E13" s="113"/>
    </row>
    <row r="14" spans="2:5" x14ac:dyDescent="0.3">
      <c r="B14" t="s">
        <v>198</v>
      </c>
      <c r="C14" s="86">
        <v>10070.370000000001</v>
      </c>
      <c r="D14" s="86">
        <v>12129.31</v>
      </c>
      <c r="E14" s="86">
        <v>14941.29</v>
      </c>
    </row>
    <row r="15" spans="2:5" x14ac:dyDescent="0.3">
      <c r="B15" t="s">
        <v>199</v>
      </c>
      <c r="C15" s="86">
        <v>55.67</v>
      </c>
      <c r="D15" s="86">
        <v>79.67</v>
      </c>
      <c r="E15" s="86">
        <v>217.69</v>
      </c>
    </row>
    <row r="16" spans="2:5" x14ac:dyDescent="0.3">
      <c r="B16" t="s">
        <v>200</v>
      </c>
      <c r="C16" s="86">
        <v>-2.59</v>
      </c>
      <c r="D16" s="86">
        <v>-2.2799999999999998</v>
      </c>
      <c r="E16" s="86">
        <v>-9.0299999999999994</v>
      </c>
    </row>
    <row r="17" spans="2:5" x14ac:dyDescent="0.3">
      <c r="B17" t="s">
        <v>201</v>
      </c>
      <c r="C17" s="86">
        <v>4307.91</v>
      </c>
      <c r="D17" s="86">
        <v>3149.16</v>
      </c>
      <c r="E17" s="86">
        <v>3794.77</v>
      </c>
    </row>
    <row r="18" spans="2:5" x14ac:dyDescent="0.3">
      <c r="B18" t="s">
        <v>202</v>
      </c>
      <c r="C18" s="86">
        <v>233.14</v>
      </c>
      <c r="D18" s="86">
        <v>220.69</v>
      </c>
      <c r="E18" s="86">
        <v>263.93</v>
      </c>
    </row>
    <row r="19" spans="2:5" x14ac:dyDescent="0.3">
      <c r="B19" t="s">
        <v>119</v>
      </c>
      <c r="C19" s="86">
        <v>759.78</v>
      </c>
      <c r="D19" s="86">
        <v>352.2</v>
      </c>
      <c r="E19" s="86">
        <v>362.97</v>
      </c>
    </row>
    <row r="20" spans="2:5" x14ac:dyDescent="0.3">
      <c r="B20" t="s">
        <v>203</v>
      </c>
      <c r="C20" s="86">
        <v>1660.07</v>
      </c>
      <c r="D20" s="86">
        <v>1563.95</v>
      </c>
      <c r="E20" s="86">
        <v>1962.02</v>
      </c>
    </row>
    <row r="21" spans="2:5" x14ac:dyDescent="0.3">
      <c r="B21" t="s">
        <v>204</v>
      </c>
      <c r="C21" s="86">
        <v>17086.349999999999</v>
      </c>
      <c r="D21" s="86">
        <v>17492.7</v>
      </c>
      <c r="E21" s="86">
        <v>21533.64</v>
      </c>
    </row>
    <row r="22" spans="2:5" x14ac:dyDescent="0.3">
      <c r="B22" t="s">
        <v>205</v>
      </c>
      <c r="C22" s="86">
        <v>-3508.02</v>
      </c>
      <c r="D22" s="86">
        <v>-744.49</v>
      </c>
      <c r="E22" s="86">
        <v>-759.43</v>
      </c>
    </row>
    <row r="23" spans="2:5" x14ac:dyDescent="0.3">
      <c r="B23" t="s">
        <v>124</v>
      </c>
      <c r="C23" s="86">
        <v>-2443.79</v>
      </c>
      <c r="D23" s="86">
        <v>0</v>
      </c>
      <c r="E23" s="86">
        <v>-33.020000000000003</v>
      </c>
    </row>
    <row r="24" spans="2:5" x14ac:dyDescent="0.3">
      <c r="B24" t="s">
        <v>206</v>
      </c>
      <c r="C24" s="86">
        <v>-5951.81</v>
      </c>
      <c r="D24" s="86">
        <v>-744.49</v>
      </c>
      <c r="E24" s="86">
        <v>-792.45</v>
      </c>
    </row>
    <row r="25" spans="2:5" x14ac:dyDescent="0.3">
      <c r="B25" t="s">
        <v>207</v>
      </c>
      <c r="C25" s="86">
        <v>0</v>
      </c>
      <c r="D25" s="86">
        <v>0</v>
      </c>
      <c r="E25" s="86">
        <v>0</v>
      </c>
    </row>
    <row r="26" spans="2:5" x14ac:dyDescent="0.3">
      <c r="B26" t="s">
        <v>208</v>
      </c>
      <c r="C26" s="86">
        <v>-5951.81</v>
      </c>
      <c r="D26" s="86">
        <v>-744.49</v>
      </c>
      <c r="E26" s="86">
        <v>-792.45</v>
      </c>
    </row>
    <row r="27" spans="2:5" x14ac:dyDescent="0.3">
      <c r="C27" s="86"/>
      <c r="D27" s="86"/>
      <c r="E27" s="86"/>
    </row>
    <row r="28" spans="2:5" x14ac:dyDescent="0.3">
      <c r="B28" s="113" t="s">
        <v>306</v>
      </c>
      <c r="C28" s="113"/>
      <c r="D28" s="113"/>
      <c r="E28" s="113"/>
    </row>
    <row r="29" spans="2:5" x14ac:dyDescent="0.3">
      <c r="B29" t="s">
        <v>209</v>
      </c>
      <c r="C29" s="86">
        <v>0</v>
      </c>
      <c r="D29" s="86">
        <v>0</v>
      </c>
      <c r="E29" s="86">
        <v>0</v>
      </c>
    </row>
    <row r="30" spans="2:5" x14ac:dyDescent="0.3">
      <c r="B30" t="s">
        <v>210</v>
      </c>
      <c r="C30" s="86">
        <v>0</v>
      </c>
      <c r="D30" s="86">
        <v>0</v>
      </c>
      <c r="E30" s="86">
        <v>0</v>
      </c>
    </row>
    <row r="31" spans="2:5" x14ac:dyDescent="0.3">
      <c r="B31" t="s">
        <v>211</v>
      </c>
      <c r="C31" s="86">
        <v>0</v>
      </c>
      <c r="D31" s="86">
        <v>0</v>
      </c>
      <c r="E31" s="86">
        <v>0</v>
      </c>
    </row>
    <row r="32" spans="2:5" x14ac:dyDescent="0.3">
      <c r="B32" t="s">
        <v>212</v>
      </c>
      <c r="C32" s="86">
        <v>-5951.81</v>
      </c>
      <c r="D32" s="86">
        <v>-744.49</v>
      </c>
      <c r="E32" s="86">
        <v>-792.45</v>
      </c>
    </row>
    <row r="33" spans="2:5" x14ac:dyDescent="0.3">
      <c r="C33" s="86"/>
      <c r="D33" s="86"/>
      <c r="E33" s="86"/>
    </row>
    <row r="34" spans="2:5" x14ac:dyDescent="0.3">
      <c r="C34" s="86"/>
      <c r="D34" s="86"/>
      <c r="E34" s="86"/>
    </row>
    <row r="35" spans="2:5" x14ac:dyDescent="0.3">
      <c r="C35" s="86"/>
      <c r="D35" s="86"/>
      <c r="E35" s="86"/>
    </row>
    <row r="36" spans="2:5" x14ac:dyDescent="0.3">
      <c r="B36" t="s">
        <v>213</v>
      </c>
      <c r="C36" s="86"/>
      <c r="D36" s="86"/>
      <c r="E36" s="86"/>
    </row>
    <row r="37" spans="2:5" x14ac:dyDescent="0.3">
      <c r="B37" t="s">
        <v>214</v>
      </c>
      <c r="C37" s="86"/>
      <c r="D37" s="86"/>
      <c r="E37" s="86"/>
    </row>
    <row r="38" spans="2:5" x14ac:dyDescent="0.3">
      <c r="B38" t="s">
        <v>215</v>
      </c>
      <c r="C38" s="86">
        <v>5.31</v>
      </c>
      <c r="D38" s="86">
        <v>-22.72</v>
      </c>
      <c r="E38" s="86">
        <v>-6.85</v>
      </c>
    </row>
    <row r="39" spans="2:5" x14ac:dyDescent="0.3">
      <c r="B39" t="s">
        <v>216</v>
      </c>
      <c r="C39" s="86">
        <v>0.5</v>
      </c>
      <c r="D39" s="86">
        <v>0</v>
      </c>
      <c r="E39" s="86">
        <v>0</v>
      </c>
    </row>
    <row r="40" spans="2:5" x14ac:dyDescent="0.3">
      <c r="B40" t="s">
        <v>217</v>
      </c>
      <c r="C40" s="86">
        <v>-52.98</v>
      </c>
      <c r="D40" s="86">
        <v>0</v>
      </c>
      <c r="E40" s="86">
        <v>0</v>
      </c>
    </row>
    <row r="41" spans="2:5" x14ac:dyDescent="0.3">
      <c r="B41" t="s">
        <v>218</v>
      </c>
      <c r="C41" s="86">
        <v>0</v>
      </c>
      <c r="D41" s="86">
        <v>0</v>
      </c>
      <c r="E41" s="86">
        <v>0</v>
      </c>
    </row>
    <row r="42" spans="2:5" x14ac:dyDescent="0.3">
      <c r="B42" t="s">
        <v>219</v>
      </c>
      <c r="C42" s="86"/>
      <c r="D42" s="86"/>
      <c r="E42" s="86"/>
    </row>
    <row r="43" spans="2:5" x14ac:dyDescent="0.3">
      <c r="B43" t="s">
        <v>220</v>
      </c>
      <c r="C43" s="86">
        <v>0.7</v>
      </c>
      <c r="D43" s="86">
        <v>0.57999999999999996</v>
      </c>
      <c r="E43" s="86">
        <v>6.13</v>
      </c>
    </row>
    <row r="44" spans="2:5" x14ac:dyDescent="0.3">
      <c r="B44" t="s">
        <v>221</v>
      </c>
      <c r="C44" s="86">
        <v>0</v>
      </c>
      <c r="D44" s="86">
        <v>0</v>
      </c>
      <c r="E44" s="86">
        <v>0</v>
      </c>
    </row>
    <row r="45" spans="2:5" x14ac:dyDescent="0.3">
      <c r="B45" t="s">
        <v>222</v>
      </c>
      <c r="C45" s="86">
        <v>-46.47</v>
      </c>
      <c r="D45" s="86">
        <v>-22.14</v>
      </c>
      <c r="E45" s="86">
        <v>-0.72</v>
      </c>
    </row>
    <row r="46" spans="2:5" x14ac:dyDescent="0.3">
      <c r="B46" t="s">
        <v>223</v>
      </c>
      <c r="C46" s="86">
        <v>-5998.28</v>
      </c>
      <c r="D46" s="86">
        <v>-766.63</v>
      </c>
      <c r="E46" s="86">
        <v>-793.17</v>
      </c>
    </row>
    <row r="47" spans="2:5" x14ac:dyDescent="0.3">
      <c r="B47" t="s">
        <v>224</v>
      </c>
      <c r="C47" s="86"/>
      <c r="D47" s="86"/>
      <c r="E47" s="86"/>
    </row>
    <row r="48" spans="2:5" x14ac:dyDescent="0.3">
      <c r="B48" t="s">
        <v>225</v>
      </c>
      <c r="C48" s="86">
        <v>-5924.13</v>
      </c>
      <c r="D48" s="86">
        <v>-744.49</v>
      </c>
      <c r="E48" s="86">
        <v>-792.45</v>
      </c>
    </row>
    <row r="49" spans="2:5" x14ac:dyDescent="0.3">
      <c r="B49" t="s">
        <v>183</v>
      </c>
      <c r="C49" s="86">
        <v>-27.68</v>
      </c>
      <c r="D49" s="86">
        <v>0</v>
      </c>
      <c r="E49" s="86">
        <v>0</v>
      </c>
    </row>
    <row r="50" spans="2:5" x14ac:dyDescent="0.3">
      <c r="B50" t="s">
        <v>226</v>
      </c>
      <c r="C50" s="86">
        <v>-46.47</v>
      </c>
      <c r="D50" s="86">
        <v>-22.14</v>
      </c>
      <c r="E50" s="86">
        <v>-0.72</v>
      </c>
    </row>
    <row r="51" spans="2:5" x14ac:dyDescent="0.3">
      <c r="B51" t="s">
        <v>183</v>
      </c>
      <c r="C51" s="86">
        <v>0</v>
      </c>
      <c r="D51" s="86">
        <v>0</v>
      </c>
      <c r="E51" s="86">
        <v>0</v>
      </c>
    </row>
    <row r="52" spans="2:5" x14ac:dyDescent="0.3">
      <c r="B52" t="s">
        <v>227</v>
      </c>
      <c r="C52" s="86">
        <v>-5970.6</v>
      </c>
      <c r="D52" s="86">
        <v>-766.63</v>
      </c>
      <c r="E52" s="86">
        <v>-793.17</v>
      </c>
    </row>
    <row r="53" spans="2:5" x14ac:dyDescent="0.3">
      <c r="B53" t="s">
        <v>183</v>
      </c>
      <c r="C53" s="86">
        <v>-27.68</v>
      </c>
      <c r="D53" s="86">
        <v>0</v>
      </c>
      <c r="E53" s="86">
        <v>0</v>
      </c>
    </row>
    <row r="54" spans="2:5" x14ac:dyDescent="0.3">
      <c r="B54" t="s">
        <v>228</v>
      </c>
      <c r="C54" s="86">
        <v>-10.32</v>
      </c>
      <c r="D54" s="86">
        <v>-1.24</v>
      </c>
      <c r="E54" s="86">
        <v>-1.23</v>
      </c>
    </row>
    <row r="55" spans="2:5" x14ac:dyDescent="0.3">
      <c r="B55" t="s">
        <v>229</v>
      </c>
      <c r="C55" s="86">
        <v>-10.32</v>
      </c>
      <c r="D55" s="86">
        <v>-1.24</v>
      </c>
      <c r="E55" s="86">
        <v>-1.23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489E-DBA3-4BE4-B775-186EF7643254}">
  <sheetPr>
    <tabColor rgb="FF6600CC"/>
  </sheetPr>
  <dimension ref="B2:J89"/>
  <sheetViews>
    <sheetView showGridLines="0" workbookViewId="0">
      <selection activeCell="G44" sqref="G44"/>
    </sheetView>
  </sheetViews>
  <sheetFormatPr defaultRowHeight="14.4" x14ac:dyDescent="0.3"/>
  <cols>
    <col min="1" max="1" width="1.88671875" customWidth="1"/>
    <col min="2" max="2" width="87.77734375" bestFit="1" customWidth="1"/>
    <col min="3" max="5" width="9.21875" bestFit="1" customWidth="1"/>
    <col min="6" max="9" width="9.77734375" bestFit="1" customWidth="1"/>
    <col min="10" max="10" width="10.77734375" bestFit="1" customWidth="1"/>
  </cols>
  <sheetData>
    <row r="2" spans="2:5" ht="21" x14ac:dyDescent="0.4">
      <c r="B2" s="116" t="str">
        <f>'Control Sheet'!B2</f>
        <v>Shiprocket</v>
      </c>
    </row>
    <row r="3" spans="2:5" x14ac:dyDescent="0.3">
      <c r="B3" s="21" t="s">
        <v>117</v>
      </c>
    </row>
    <row r="4" spans="2:5" x14ac:dyDescent="0.3">
      <c r="B4" s="118" t="s">
        <v>318</v>
      </c>
    </row>
    <row r="6" spans="2:5" x14ac:dyDescent="0.3">
      <c r="B6" s="109" t="s">
        <v>294</v>
      </c>
      <c r="C6" s="110">
        <v>2024</v>
      </c>
      <c r="D6" s="110">
        <f>C6+1</f>
        <v>2025</v>
      </c>
      <c r="E6" s="110">
        <f t="shared" ref="E6" si="0">D6+1</f>
        <v>2026</v>
      </c>
    </row>
    <row r="8" spans="2:5" x14ac:dyDescent="0.3">
      <c r="B8" s="113" t="s">
        <v>230</v>
      </c>
      <c r="C8" s="113"/>
      <c r="D8" s="113"/>
      <c r="E8" s="113"/>
    </row>
    <row r="9" spans="2:5" x14ac:dyDescent="0.3">
      <c r="B9" t="s">
        <v>208</v>
      </c>
      <c r="C9" s="86">
        <v>-5951.81</v>
      </c>
      <c r="D9" s="86">
        <v>-744.49</v>
      </c>
      <c r="E9" s="86">
        <v>-792.45</v>
      </c>
    </row>
    <row r="10" spans="2:5" x14ac:dyDescent="0.3">
      <c r="B10" t="s">
        <v>231</v>
      </c>
      <c r="C10" s="86"/>
      <c r="D10" s="86"/>
      <c r="E10" s="86"/>
    </row>
    <row r="11" spans="2:5" x14ac:dyDescent="0.3">
      <c r="B11" t="s">
        <v>232</v>
      </c>
      <c r="C11" s="86">
        <v>217.38</v>
      </c>
      <c r="D11" s="86">
        <v>120.13</v>
      </c>
      <c r="E11" s="86">
        <v>100.71</v>
      </c>
    </row>
    <row r="12" spans="2:5" x14ac:dyDescent="0.3">
      <c r="B12" t="s">
        <v>233</v>
      </c>
      <c r="C12" s="86">
        <v>1767.42</v>
      </c>
      <c r="D12" s="86">
        <v>0</v>
      </c>
      <c r="E12" s="86">
        <v>0</v>
      </c>
    </row>
    <row r="13" spans="2:5" x14ac:dyDescent="0.3">
      <c r="B13" t="s">
        <v>234</v>
      </c>
      <c r="C13" s="86">
        <v>307.3</v>
      </c>
      <c r="D13" s="86">
        <v>30.27</v>
      </c>
      <c r="E13" s="86">
        <v>7.97</v>
      </c>
    </row>
    <row r="14" spans="2:5" x14ac:dyDescent="0.3">
      <c r="B14" t="s">
        <v>307</v>
      </c>
      <c r="C14" s="86">
        <v>753.15</v>
      </c>
      <c r="D14" s="86">
        <v>0</v>
      </c>
      <c r="E14" s="86">
        <v>0</v>
      </c>
    </row>
    <row r="15" spans="2:5" x14ac:dyDescent="0.3">
      <c r="B15" t="s">
        <v>235</v>
      </c>
      <c r="C15" s="86">
        <v>235.1</v>
      </c>
      <c r="D15" s="86">
        <v>201.8</v>
      </c>
      <c r="E15" s="86">
        <v>254.29</v>
      </c>
    </row>
    <row r="16" spans="2:5" x14ac:dyDescent="0.3">
      <c r="B16" t="s">
        <v>236</v>
      </c>
      <c r="C16" s="86">
        <v>197.73</v>
      </c>
      <c r="D16" s="86">
        <v>100.68</v>
      </c>
      <c r="E16" s="86">
        <v>53.89</v>
      </c>
    </row>
    <row r="17" spans="2:5" x14ac:dyDescent="0.3">
      <c r="B17" t="s">
        <v>237</v>
      </c>
      <c r="C17" s="86">
        <v>117.42</v>
      </c>
      <c r="D17" s="86">
        <v>18.04</v>
      </c>
      <c r="E17" s="86">
        <v>-8.73</v>
      </c>
    </row>
    <row r="18" spans="2:5" x14ac:dyDescent="0.3">
      <c r="B18" t="s">
        <v>238</v>
      </c>
      <c r="C18" s="86">
        <v>4.26</v>
      </c>
      <c r="D18" s="86">
        <v>0</v>
      </c>
      <c r="E18" s="86">
        <v>0</v>
      </c>
    </row>
    <row r="19" spans="2:5" x14ac:dyDescent="0.3">
      <c r="B19" t="s">
        <v>308</v>
      </c>
      <c r="C19" s="86">
        <v>15.56</v>
      </c>
      <c r="D19" s="86">
        <v>0</v>
      </c>
      <c r="E19" s="86">
        <v>0</v>
      </c>
    </row>
    <row r="20" spans="2:5" x14ac:dyDescent="0.3">
      <c r="B20" t="s">
        <v>239</v>
      </c>
      <c r="C20" s="86">
        <v>4.08</v>
      </c>
      <c r="D20" s="86">
        <v>0.72</v>
      </c>
      <c r="E20" s="86">
        <v>2.4900000000000002</v>
      </c>
    </row>
    <row r="21" spans="2:5" x14ac:dyDescent="0.3">
      <c r="B21" t="s">
        <v>240</v>
      </c>
      <c r="C21" s="86">
        <v>1926.46</v>
      </c>
      <c r="D21" s="86">
        <v>912.77</v>
      </c>
      <c r="E21" s="86">
        <v>1123.43</v>
      </c>
    </row>
    <row r="22" spans="2:5" x14ac:dyDescent="0.3">
      <c r="B22" t="s">
        <v>309</v>
      </c>
      <c r="C22" s="86">
        <v>-92.34</v>
      </c>
      <c r="D22" s="86">
        <v>0</v>
      </c>
      <c r="E22" s="86">
        <v>0</v>
      </c>
    </row>
    <row r="23" spans="2:5" x14ac:dyDescent="0.3">
      <c r="B23" t="s">
        <v>241</v>
      </c>
      <c r="C23" s="86">
        <v>131.91999999999999</v>
      </c>
      <c r="D23" s="86">
        <v>133.47</v>
      </c>
      <c r="E23" s="86">
        <v>166.94</v>
      </c>
    </row>
    <row r="24" spans="2:5" x14ac:dyDescent="0.3">
      <c r="B24" t="s">
        <v>121</v>
      </c>
      <c r="C24" s="86">
        <v>98.3</v>
      </c>
      <c r="D24" s="86">
        <v>85.44</v>
      </c>
      <c r="E24" s="86">
        <v>94.45</v>
      </c>
    </row>
    <row r="25" spans="2:5" x14ac:dyDescent="0.3">
      <c r="B25" t="s">
        <v>242</v>
      </c>
      <c r="C25" s="86">
        <v>-9.42</v>
      </c>
      <c r="D25" s="86">
        <v>-11.72</v>
      </c>
      <c r="E25" s="86">
        <v>22.75</v>
      </c>
    </row>
    <row r="26" spans="2:5" x14ac:dyDescent="0.3">
      <c r="B26" t="s">
        <v>243</v>
      </c>
      <c r="C26" s="86">
        <v>0</v>
      </c>
      <c r="D26" s="86">
        <v>0</v>
      </c>
      <c r="E26" s="86">
        <v>-34.43</v>
      </c>
    </row>
    <row r="27" spans="2:5" x14ac:dyDescent="0.3">
      <c r="B27" t="s">
        <v>244</v>
      </c>
      <c r="C27" s="86">
        <v>2.4500000000000002</v>
      </c>
      <c r="D27" s="86">
        <v>0.1</v>
      </c>
      <c r="E27" s="86">
        <v>-0.42</v>
      </c>
    </row>
    <row r="28" spans="2:5" x14ac:dyDescent="0.3">
      <c r="B28" t="s">
        <v>245</v>
      </c>
      <c r="C28" s="86">
        <v>0</v>
      </c>
      <c r="D28" s="86">
        <v>34.270000000000003</v>
      </c>
      <c r="E28" s="86">
        <v>0</v>
      </c>
    </row>
    <row r="29" spans="2:5" x14ac:dyDescent="0.3">
      <c r="B29" t="s">
        <v>246</v>
      </c>
      <c r="C29" s="86">
        <v>0</v>
      </c>
      <c r="D29" s="86">
        <v>23.05</v>
      </c>
      <c r="E29" s="86">
        <v>0</v>
      </c>
    </row>
    <row r="30" spans="2:5" x14ac:dyDescent="0.3">
      <c r="B30" t="s">
        <v>247</v>
      </c>
      <c r="C30" s="86">
        <v>-15.61</v>
      </c>
      <c r="D30" s="86">
        <v>-22.09</v>
      </c>
      <c r="E30" s="86">
        <v>-6.72</v>
      </c>
    </row>
    <row r="31" spans="2:5" x14ac:dyDescent="0.3">
      <c r="B31" t="s">
        <v>248</v>
      </c>
      <c r="C31" s="86">
        <v>0</v>
      </c>
      <c r="D31" s="86">
        <v>-2.92</v>
      </c>
      <c r="E31" s="86">
        <v>-50.12</v>
      </c>
    </row>
    <row r="32" spans="2:5" x14ac:dyDescent="0.3">
      <c r="B32" t="s">
        <v>249</v>
      </c>
      <c r="C32" s="86">
        <v>-354.71</v>
      </c>
      <c r="D32" s="86">
        <v>-357.55</v>
      </c>
      <c r="E32" s="86">
        <v>-442.5</v>
      </c>
    </row>
    <row r="33" spans="2:7" x14ac:dyDescent="0.3">
      <c r="B33" t="s">
        <v>250</v>
      </c>
      <c r="C33" s="86">
        <v>-11.25</v>
      </c>
      <c r="D33" s="86">
        <v>-14.3</v>
      </c>
      <c r="E33" s="86">
        <v>-0.85</v>
      </c>
    </row>
    <row r="34" spans="2:7" x14ac:dyDescent="0.3">
      <c r="B34" t="s">
        <v>251</v>
      </c>
      <c r="C34" s="86">
        <v>-5.33</v>
      </c>
      <c r="D34" s="86">
        <v>-5.07</v>
      </c>
      <c r="E34" s="86">
        <v>-5.72</v>
      </c>
    </row>
    <row r="35" spans="2:7" x14ac:dyDescent="0.3">
      <c r="B35" t="s">
        <v>252</v>
      </c>
      <c r="C35" s="86">
        <v>-661.94</v>
      </c>
      <c r="D35" s="86">
        <v>502.6</v>
      </c>
      <c r="E35" s="86">
        <v>484.98</v>
      </c>
    </row>
    <row r="36" spans="2:7" x14ac:dyDescent="0.3">
      <c r="B36" s="20" t="s">
        <v>253</v>
      </c>
      <c r="C36" s="86"/>
      <c r="D36" s="86"/>
      <c r="E36" s="86"/>
    </row>
    <row r="37" spans="2:7" x14ac:dyDescent="0.3">
      <c r="B37" t="s">
        <v>254</v>
      </c>
      <c r="C37" s="86">
        <v>-2.59</v>
      </c>
      <c r="D37" s="86">
        <v>-2.2799999999999998</v>
      </c>
      <c r="E37" s="86">
        <v>-9.0299999999999994</v>
      </c>
    </row>
    <row r="38" spans="2:7" x14ac:dyDescent="0.3">
      <c r="B38" t="s">
        <v>255</v>
      </c>
      <c r="C38" s="86">
        <v>-460.8</v>
      </c>
      <c r="D38" s="86">
        <v>-400.35</v>
      </c>
      <c r="E38" s="86">
        <v>-948.57</v>
      </c>
    </row>
    <row r="39" spans="2:7" x14ac:dyDescent="0.3">
      <c r="B39" t="s">
        <v>256</v>
      </c>
      <c r="C39" s="86">
        <v>-319.36</v>
      </c>
      <c r="D39" s="86">
        <v>-266.55</v>
      </c>
      <c r="E39" s="86">
        <v>-317.97000000000003</v>
      </c>
    </row>
    <row r="40" spans="2:7" x14ac:dyDescent="0.3">
      <c r="B40" t="s">
        <v>257</v>
      </c>
      <c r="C40" s="86">
        <v>-947.47</v>
      </c>
      <c r="D40" s="86">
        <v>-167.42</v>
      </c>
      <c r="E40" s="86">
        <v>-29.93</v>
      </c>
    </row>
    <row r="41" spans="2:7" x14ac:dyDescent="0.3">
      <c r="B41" t="s">
        <v>258</v>
      </c>
      <c r="C41" s="86">
        <v>35.880000000000003</v>
      </c>
      <c r="D41" s="86">
        <v>273.58</v>
      </c>
      <c r="E41" s="86">
        <v>431.24</v>
      </c>
    </row>
    <row r="42" spans="2:7" x14ac:dyDescent="0.3">
      <c r="B42" t="s">
        <v>259</v>
      </c>
      <c r="C42" s="86">
        <v>-79.13</v>
      </c>
      <c r="D42" s="86">
        <v>-222.24</v>
      </c>
      <c r="E42" s="86">
        <v>502.99</v>
      </c>
    </row>
    <row r="43" spans="2:7" x14ac:dyDescent="0.3">
      <c r="B43" t="s">
        <v>260</v>
      </c>
      <c r="C43" s="86">
        <v>235.69</v>
      </c>
      <c r="D43" s="86">
        <v>187.56</v>
      </c>
      <c r="E43" s="86">
        <v>517.86</v>
      </c>
    </row>
    <row r="44" spans="2:7" x14ac:dyDescent="0.3">
      <c r="B44" t="s">
        <v>261</v>
      </c>
      <c r="C44" s="86">
        <v>24.22</v>
      </c>
      <c r="D44" s="86">
        <v>33.43</v>
      </c>
      <c r="E44" s="86">
        <v>73.8</v>
      </c>
      <c r="G44" s="86"/>
    </row>
    <row r="45" spans="2:7" x14ac:dyDescent="0.3">
      <c r="B45" t="s">
        <v>262</v>
      </c>
      <c r="C45" s="86">
        <v>-2175.5</v>
      </c>
      <c r="D45" s="86">
        <v>-61.67</v>
      </c>
      <c r="E45" s="86">
        <v>705.37</v>
      </c>
      <c r="G45" s="150"/>
    </row>
    <row r="46" spans="2:7" x14ac:dyDescent="0.3">
      <c r="B46" t="s">
        <v>263</v>
      </c>
      <c r="C46" s="86">
        <v>15.58</v>
      </c>
      <c r="D46" s="86">
        <v>80.64</v>
      </c>
      <c r="E46" s="86">
        <v>-179</v>
      </c>
    </row>
    <row r="47" spans="2:7" x14ac:dyDescent="0.3">
      <c r="B47" s="20" t="s">
        <v>264</v>
      </c>
      <c r="C47" s="111">
        <v>-2159.92</v>
      </c>
      <c r="D47" s="111">
        <v>18.97</v>
      </c>
      <c r="E47" s="111">
        <v>526.37</v>
      </c>
    </row>
    <row r="48" spans="2:7" x14ac:dyDescent="0.3">
      <c r="C48" s="86"/>
      <c r="D48" s="86"/>
      <c r="E48" s="86"/>
    </row>
    <row r="49" spans="2:5" x14ac:dyDescent="0.3">
      <c r="B49" s="113" t="s">
        <v>265</v>
      </c>
      <c r="C49" s="113"/>
      <c r="D49" s="113"/>
      <c r="E49" s="113"/>
    </row>
    <row r="50" spans="2:5" x14ac:dyDescent="0.3">
      <c r="B50" t="s">
        <v>266</v>
      </c>
      <c r="C50" s="86">
        <v>-245.16</v>
      </c>
      <c r="D50" s="86">
        <v>-65.78</v>
      </c>
      <c r="E50" s="86">
        <v>-181.66</v>
      </c>
    </row>
    <row r="51" spans="2:5" x14ac:dyDescent="0.3">
      <c r="B51" t="s">
        <v>267</v>
      </c>
      <c r="C51" s="86">
        <v>1.81</v>
      </c>
      <c r="D51" s="86">
        <v>0.31</v>
      </c>
      <c r="E51" s="86">
        <v>1.41</v>
      </c>
    </row>
    <row r="52" spans="2:5" x14ac:dyDescent="0.3">
      <c r="B52" t="s">
        <v>310</v>
      </c>
      <c r="C52" s="86">
        <v>0.27</v>
      </c>
      <c r="D52" s="86">
        <v>0</v>
      </c>
      <c r="E52" s="86">
        <v>0</v>
      </c>
    </row>
    <row r="53" spans="2:5" x14ac:dyDescent="0.3">
      <c r="B53" t="s">
        <v>268</v>
      </c>
      <c r="C53" s="86">
        <v>0.5</v>
      </c>
      <c r="D53" s="86">
        <v>0</v>
      </c>
      <c r="E53" s="86">
        <v>0</v>
      </c>
    </row>
    <row r="54" spans="2:5" x14ac:dyDescent="0.3">
      <c r="B54" t="s">
        <v>269</v>
      </c>
      <c r="C54" s="86">
        <v>-5.99</v>
      </c>
      <c r="D54" s="86">
        <v>-25</v>
      </c>
      <c r="E54" s="86">
        <v>-130.88</v>
      </c>
    </row>
    <row r="55" spans="2:5" x14ac:dyDescent="0.3">
      <c r="B55" t="s">
        <v>270</v>
      </c>
      <c r="C55" s="86">
        <v>71.7</v>
      </c>
      <c r="D55" s="86">
        <v>0</v>
      </c>
      <c r="E55" s="86">
        <v>5544.06</v>
      </c>
    </row>
    <row r="56" spans="2:5" x14ac:dyDescent="0.3">
      <c r="B56" t="s">
        <v>312</v>
      </c>
      <c r="C56" s="86">
        <v>0</v>
      </c>
      <c r="D56" s="86">
        <v>-260</v>
      </c>
      <c r="E56" s="86">
        <v>-650</v>
      </c>
    </row>
    <row r="57" spans="2:5" x14ac:dyDescent="0.3">
      <c r="B57" t="s">
        <v>313</v>
      </c>
      <c r="C57" s="86">
        <v>0</v>
      </c>
      <c r="D57" s="86">
        <v>0</v>
      </c>
      <c r="E57" s="86">
        <v>610</v>
      </c>
    </row>
    <row r="58" spans="2:5" x14ac:dyDescent="0.3">
      <c r="B58" t="s">
        <v>271</v>
      </c>
      <c r="C58" s="86">
        <v>0</v>
      </c>
      <c r="D58" s="86">
        <v>-100</v>
      </c>
      <c r="E58" s="86">
        <v>-5274.75</v>
      </c>
    </row>
    <row r="59" spans="2:5" x14ac:dyDescent="0.3">
      <c r="B59" t="s">
        <v>272</v>
      </c>
      <c r="C59" s="86">
        <v>0</v>
      </c>
      <c r="D59" s="86">
        <v>1.76</v>
      </c>
      <c r="E59" s="86">
        <v>51.29</v>
      </c>
    </row>
    <row r="60" spans="2:5" x14ac:dyDescent="0.3">
      <c r="B60" t="s">
        <v>273</v>
      </c>
      <c r="C60" s="86">
        <v>429.04</v>
      </c>
      <c r="D60" s="86">
        <v>203.93</v>
      </c>
      <c r="E60" s="86">
        <v>653.73</v>
      </c>
    </row>
    <row r="61" spans="2:5" x14ac:dyDescent="0.3">
      <c r="B61" t="s">
        <v>274</v>
      </c>
      <c r="C61" s="86">
        <v>3286.94</v>
      </c>
      <c r="D61" s="86">
        <v>2191.41</v>
      </c>
      <c r="E61" s="86">
        <v>3305.89</v>
      </c>
    </row>
    <row r="62" spans="2:5" x14ac:dyDescent="0.3">
      <c r="B62" t="s">
        <v>275</v>
      </c>
      <c r="C62" s="86">
        <v>-1782.36</v>
      </c>
      <c r="D62" s="86">
        <v>-3386.31</v>
      </c>
      <c r="E62" s="86">
        <v>-3397.34</v>
      </c>
    </row>
    <row r="63" spans="2:5" x14ac:dyDescent="0.3">
      <c r="B63" s="20" t="s">
        <v>276</v>
      </c>
      <c r="C63" s="111">
        <v>1756.75</v>
      </c>
      <c r="D63" s="111">
        <v>-1439.68</v>
      </c>
      <c r="E63" s="111">
        <v>531.75</v>
      </c>
    </row>
    <row r="64" spans="2:5" x14ac:dyDescent="0.3">
      <c r="C64" s="86"/>
      <c r="D64" s="86"/>
      <c r="E64" s="86"/>
    </row>
    <row r="65" spans="2:5" x14ac:dyDescent="0.3">
      <c r="B65" s="113" t="s">
        <v>277</v>
      </c>
      <c r="C65" s="113"/>
      <c r="D65" s="113"/>
      <c r="E65" s="113"/>
    </row>
    <row r="66" spans="2:5" x14ac:dyDescent="0.3">
      <c r="B66" t="s">
        <v>278</v>
      </c>
      <c r="C66" s="86">
        <v>7.42</v>
      </c>
      <c r="D66" s="86">
        <v>17.98</v>
      </c>
      <c r="E66" s="86">
        <v>0</v>
      </c>
    </row>
    <row r="67" spans="2:5" x14ac:dyDescent="0.3">
      <c r="B67" t="s">
        <v>279</v>
      </c>
      <c r="C67" s="86">
        <v>0.28999999999999998</v>
      </c>
      <c r="D67" s="86">
        <v>1.0900000000000001</v>
      </c>
      <c r="E67" s="86">
        <v>0</v>
      </c>
    </row>
    <row r="68" spans="2:5" x14ac:dyDescent="0.3">
      <c r="B68" t="s">
        <v>280</v>
      </c>
      <c r="C68" s="86">
        <v>891.56</v>
      </c>
      <c r="D68" s="86">
        <v>2069.7800000000002</v>
      </c>
      <c r="E68" s="86">
        <v>0</v>
      </c>
    </row>
    <row r="69" spans="2:5" x14ac:dyDescent="0.3">
      <c r="B69" t="s">
        <v>281</v>
      </c>
      <c r="C69" s="86">
        <v>26.52</v>
      </c>
      <c r="D69" s="86">
        <v>0</v>
      </c>
      <c r="E69" s="86">
        <v>0</v>
      </c>
    </row>
    <row r="70" spans="2:5" x14ac:dyDescent="0.3">
      <c r="B70" t="s">
        <v>314</v>
      </c>
      <c r="C70" s="86">
        <v>0</v>
      </c>
      <c r="D70" s="86">
        <v>-184.34</v>
      </c>
      <c r="E70" s="86">
        <v>0</v>
      </c>
    </row>
    <row r="71" spans="2:5" x14ac:dyDescent="0.3">
      <c r="B71" t="s">
        <v>311</v>
      </c>
      <c r="C71" s="86">
        <v>-546.02</v>
      </c>
      <c r="D71" s="86">
        <v>0</v>
      </c>
      <c r="E71" s="86">
        <v>0</v>
      </c>
    </row>
    <row r="72" spans="2:5" x14ac:dyDescent="0.3">
      <c r="B72" t="s">
        <v>282</v>
      </c>
      <c r="C72" s="86">
        <v>-174.03</v>
      </c>
      <c r="D72" s="86">
        <v>-157.35</v>
      </c>
      <c r="E72" s="86">
        <v>-187.17</v>
      </c>
    </row>
    <row r="73" spans="2:5" x14ac:dyDescent="0.3">
      <c r="B73" t="s">
        <v>283</v>
      </c>
      <c r="C73" s="86">
        <v>-98.3</v>
      </c>
      <c r="D73" s="86">
        <v>-85.44</v>
      </c>
      <c r="E73" s="86">
        <v>-94.45</v>
      </c>
    </row>
    <row r="74" spans="2:5" x14ac:dyDescent="0.3">
      <c r="B74" t="s">
        <v>284</v>
      </c>
      <c r="C74" s="86">
        <v>-131.91999999999999</v>
      </c>
      <c r="D74" s="86">
        <v>-133.47</v>
      </c>
      <c r="E74" s="86">
        <v>-166.94</v>
      </c>
    </row>
    <row r="75" spans="2:5" x14ac:dyDescent="0.3">
      <c r="B75" s="20" t="s">
        <v>285</v>
      </c>
      <c r="C75" s="111">
        <v>-24.48</v>
      </c>
      <c r="D75" s="111">
        <v>1528.25</v>
      </c>
      <c r="E75" s="111">
        <v>-448.56</v>
      </c>
    </row>
    <row r="76" spans="2:5" x14ac:dyDescent="0.3">
      <c r="B76" s="20"/>
      <c r="C76" s="111"/>
      <c r="D76" s="111"/>
      <c r="E76" s="111"/>
    </row>
    <row r="77" spans="2:5" x14ac:dyDescent="0.3">
      <c r="B77" s="20" t="s">
        <v>286</v>
      </c>
      <c r="C77" s="111">
        <v>-427.65</v>
      </c>
      <c r="D77" s="111">
        <v>107.54</v>
      </c>
      <c r="E77" s="111">
        <v>609.55999999999995</v>
      </c>
    </row>
    <row r="78" spans="2:5" x14ac:dyDescent="0.3">
      <c r="B78" t="s">
        <v>287</v>
      </c>
      <c r="C78" s="86">
        <v>-862.14</v>
      </c>
      <c r="D78" s="86">
        <v>-1289.79</v>
      </c>
      <c r="E78" s="86">
        <v>-1182.25</v>
      </c>
    </row>
    <row r="79" spans="2:5" x14ac:dyDescent="0.3">
      <c r="B79" t="s">
        <v>288</v>
      </c>
      <c r="C79" s="86">
        <v>-1289.79</v>
      </c>
      <c r="D79" s="86">
        <v>-1182.25</v>
      </c>
      <c r="E79" s="86">
        <v>-572.69000000000005</v>
      </c>
    </row>
    <row r="80" spans="2:5" x14ac:dyDescent="0.3">
      <c r="B80" t="s">
        <v>289</v>
      </c>
      <c r="C80" s="86"/>
      <c r="D80" s="86"/>
      <c r="E80" s="86"/>
    </row>
    <row r="81" spans="2:10" x14ac:dyDescent="0.3">
      <c r="B81" t="s">
        <v>290</v>
      </c>
      <c r="C81" s="86">
        <v>150.6</v>
      </c>
      <c r="D81" s="86">
        <v>320.02999999999997</v>
      </c>
      <c r="E81" s="86">
        <v>727.88</v>
      </c>
    </row>
    <row r="82" spans="2:10" x14ac:dyDescent="0.3">
      <c r="B82" t="s">
        <v>291</v>
      </c>
      <c r="C82" s="86">
        <v>692.36</v>
      </c>
      <c r="D82" s="86">
        <v>726.23</v>
      </c>
      <c r="E82" s="86">
        <v>1119.55</v>
      </c>
    </row>
    <row r="83" spans="2:10" x14ac:dyDescent="0.3">
      <c r="B83" t="s">
        <v>292</v>
      </c>
      <c r="C83" s="86">
        <v>0</v>
      </c>
      <c r="D83" s="86">
        <v>218.14</v>
      </c>
      <c r="E83" s="86">
        <v>0</v>
      </c>
    </row>
    <row r="84" spans="2:10" x14ac:dyDescent="0.3">
      <c r="C84" s="86"/>
      <c r="D84" s="86"/>
      <c r="E84" s="86"/>
    </row>
    <row r="85" spans="2:10" x14ac:dyDescent="0.3">
      <c r="B85" t="s">
        <v>315</v>
      </c>
      <c r="C85" s="86">
        <v>842.96</v>
      </c>
      <c r="D85" s="86">
        <v>1264.4000000000001</v>
      </c>
      <c r="E85" s="86">
        <v>1847.43</v>
      </c>
    </row>
    <row r="86" spans="2:10" x14ac:dyDescent="0.3">
      <c r="B86" t="s">
        <v>316</v>
      </c>
      <c r="C86" s="86">
        <v>-2132.75</v>
      </c>
      <c r="D86" s="86">
        <v>-2446.65</v>
      </c>
      <c r="E86" s="86">
        <v>-2420.12</v>
      </c>
      <c r="F86" s="25"/>
      <c r="G86" s="25"/>
      <c r="H86" s="25"/>
      <c r="I86" s="25"/>
      <c r="J86" s="25"/>
    </row>
    <row r="87" spans="2:10" x14ac:dyDescent="0.3">
      <c r="B87" t="s">
        <v>293</v>
      </c>
      <c r="C87" s="86">
        <v>-1289.79</v>
      </c>
      <c r="D87" s="86">
        <v>-1182.25</v>
      </c>
      <c r="E87" s="86">
        <v>-572.69000000000005</v>
      </c>
    </row>
    <row r="89" spans="2:10" x14ac:dyDescent="0.3">
      <c r="C89" s="143"/>
      <c r="D89" s="143"/>
      <c r="E89" s="14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67C7-A8BD-4899-AC21-204243E869BD}">
  <dimension ref="B2:N72"/>
  <sheetViews>
    <sheetView showGridLines="0" workbookViewId="0">
      <selection activeCell="P21" sqref="P21"/>
    </sheetView>
  </sheetViews>
  <sheetFormatPr defaultRowHeight="14.4" x14ac:dyDescent="0.3"/>
  <cols>
    <col min="1" max="1" width="1.88671875" customWidth="1"/>
    <col min="2" max="2" width="28.77734375" bestFit="1" customWidth="1"/>
    <col min="3" max="3" width="27.109375" bestFit="1" customWidth="1"/>
    <col min="4" max="4" width="28.33203125" bestFit="1" customWidth="1"/>
    <col min="6" max="6" width="16.88671875" bestFit="1" customWidth="1"/>
    <col min="8" max="8" width="11.77734375" bestFit="1" customWidth="1"/>
  </cols>
  <sheetData>
    <row r="2" spans="2:14" ht="21" x14ac:dyDescent="0.4">
      <c r="B2" s="116" t="str">
        <f>'Control Sheet'!B2</f>
        <v>Shiprocket</v>
      </c>
    </row>
    <row r="3" spans="2:14" ht="18" x14ac:dyDescent="0.35">
      <c r="B3" s="1" t="s">
        <v>319</v>
      </c>
    </row>
    <row r="4" spans="2:14" x14ac:dyDescent="0.3">
      <c r="B4" s="188" t="e" vm="2">
        <v>#VALUE!</v>
      </c>
      <c r="C4" s="188"/>
      <c r="D4" s="188"/>
      <c r="F4" s="189" t="e" vm="3">
        <v>#VALUE!</v>
      </c>
      <c r="G4" s="189"/>
      <c r="H4" s="189"/>
      <c r="I4" s="189"/>
      <c r="J4" s="189"/>
      <c r="K4" s="189"/>
      <c r="L4" s="189"/>
      <c r="M4" s="189"/>
      <c r="N4" s="189"/>
    </row>
    <row r="5" spans="2:14" x14ac:dyDescent="0.3">
      <c r="B5" s="188"/>
      <c r="C5" s="188"/>
      <c r="D5" s="188"/>
      <c r="F5" s="189"/>
      <c r="G5" s="189"/>
      <c r="H5" s="189"/>
      <c r="I5" s="189"/>
      <c r="J5" s="189"/>
      <c r="K5" s="189"/>
      <c r="L5" s="189"/>
      <c r="M5" s="189"/>
      <c r="N5" s="189"/>
    </row>
    <row r="6" spans="2:14" x14ac:dyDescent="0.3">
      <c r="B6" s="188"/>
      <c r="C6" s="188"/>
      <c r="D6" s="188"/>
      <c r="F6" s="189"/>
      <c r="G6" s="189"/>
      <c r="H6" s="189"/>
      <c r="I6" s="189"/>
      <c r="J6" s="189"/>
      <c r="K6" s="189"/>
      <c r="L6" s="189"/>
      <c r="M6" s="189"/>
      <c r="N6" s="189"/>
    </row>
    <row r="7" spans="2:14" x14ac:dyDescent="0.3">
      <c r="B7" s="188"/>
      <c r="C7" s="188"/>
      <c r="D7" s="188"/>
      <c r="F7" s="189"/>
      <c r="G7" s="189"/>
      <c r="H7" s="189"/>
      <c r="I7" s="189"/>
      <c r="J7" s="189"/>
      <c r="K7" s="189"/>
      <c r="L7" s="189"/>
      <c r="M7" s="189"/>
      <c r="N7" s="189"/>
    </row>
    <row r="8" spans="2:14" x14ac:dyDescent="0.3">
      <c r="B8" s="188"/>
      <c r="C8" s="188"/>
      <c r="D8" s="188"/>
      <c r="F8" s="189"/>
      <c r="G8" s="189"/>
      <c r="H8" s="189"/>
      <c r="I8" s="189"/>
      <c r="J8" s="189"/>
      <c r="K8" s="189"/>
      <c r="L8" s="189"/>
      <c r="M8" s="189"/>
      <c r="N8" s="189"/>
    </row>
    <row r="9" spans="2:14" x14ac:dyDescent="0.3">
      <c r="B9" s="188"/>
      <c r="C9" s="188"/>
      <c r="D9" s="188"/>
      <c r="F9" s="189"/>
      <c r="G9" s="189"/>
      <c r="H9" s="189"/>
      <c r="I9" s="189"/>
      <c r="J9" s="189"/>
      <c r="K9" s="189"/>
      <c r="L9" s="189"/>
      <c r="M9" s="189"/>
      <c r="N9" s="189"/>
    </row>
    <row r="10" spans="2:14" x14ac:dyDescent="0.3">
      <c r="B10" s="189" t="e" vm="4">
        <v>#VALUE!</v>
      </c>
      <c r="C10" s="189"/>
      <c r="D10" s="189"/>
      <c r="F10" s="189"/>
      <c r="G10" s="189"/>
      <c r="H10" s="189"/>
      <c r="I10" s="189"/>
      <c r="J10" s="189"/>
      <c r="K10" s="189"/>
      <c r="L10" s="189"/>
      <c r="M10" s="189"/>
      <c r="N10" s="189"/>
    </row>
    <row r="11" spans="2:14" x14ac:dyDescent="0.3">
      <c r="B11" s="189"/>
      <c r="C11" s="189"/>
      <c r="D11" s="189"/>
      <c r="F11" s="189"/>
      <c r="G11" s="189"/>
      <c r="H11" s="189"/>
      <c r="I11" s="189"/>
      <c r="J11" s="189"/>
      <c r="K11" s="189"/>
      <c r="L11" s="189"/>
      <c r="M11" s="189"/>
      <c r="N11" s="189"/>
    </row>
    <row r="12" spans="2:14" x14ac:dyDescent="0.3">
      <c r="B12" s="189"/>
      <c r="C12" s="189"/>
      <c r="D12" s="189"/>
      <c r="F12" s="189"/>
      <c r="G12" s="189"/>
      <c r="H12" s="189"/>
      <c r="I12" s="189"/>
      <c r="J12" s="189"/>
      <c r="K12" s="189"/>
      <c r="L12" s="189"/>
      <c r="M12" s="189"/>
      <c r="N12" s="189"/>
    </row>
    <row r="13" spans="2:14" x14ac:dyDescent="0.3">
      <c r="B13" s="189"/>
      <c r="C13" s="189"/>
      <c r="D13" s="189"/>
    </row>
    <row r="14" spans="2:14" x14ac:dyDescent="0.3">
      <c r="B14" s="189"/>
      <c r="C14" s="189"/>
      <c r="D14" s="189"/>
      <c r="F14" s="122" t="s">
        <v>325</v>
      </c>
      <c r="G14" s="123">
        <v>26</v>
      </c>
      <c r="H14" s="124">
        <f>G14+1</f>
        <v>27</v>
      </c>
      <c r="I14" s="124">
        <f t="shared" ref="I14:L14" si="0">H14+1</f>
        <v>28</v>
      </c>
      <c r="J14" s="124">
        <f t="shared" si="0"/>
        <v>29</v>
      </c>
      <c r="K14" s="124">
        <f t="shared" si="0"/>
        <v>30</v>
      </c>
      <c r="L14" s="124">
        <f t="shared" si="0"/>
        <v>31</v>
      </c>
    </row>
    <row r="15" spans="2:14" x14ac:dyDescent="0.3">
      <c r="B15" s="189"/>
      <c r="C15" s="189"/>
      <c r="D15" s="189"/>
      <c r="F15" s="113" t="s">
        <v>326</v>
      </c>
      <c r="G15" s="120">
        <v>0.128</v>
      </c>
      <c r="H15" s="120">
        <f>G15+0.5%</f>
        <v>0.13300000000000001</v>
      </c>
      <c r="I15" s="120">
        <f t="shared" ref="I15:L15" si="1">H15+0.5%</f>
        <v>0.13800000000000001</v>
      </c>
      <c r="J15" s="120">
        <f t="shared" si="1"/>
        <v>0.14300000000000002</v>
      </c>
      <c r="K15" s="120">
        <f t="shared" si="1"/>
        <v>0.14800000000000002</v>
      </c>
      <c r="L15" s="120">
        <f t="shared" si="1"/>
        <v>0.15300000000000002</v>
      </c>
    </row>
    <row r="16" spans="2:14" x14ac:dyDescent="0.3">
      <c r="F16" s="113"/>
      <c r="G16" s="114"/>
      <c r="H16" s="114"/>
      <c r="I16" s="114"/>
      <c r="J16" s="114"/>
      <c r="K16" s="114"/>
      <c r="L16" s="114"/>
    </row>
    <row r="17" spans="2:14" x14ac:dyDescent="0.3">
      <c r="B17" s="189" t="e" vm="5">
        <v>#VALUE!</v>
      </c>
      <c r="C17" s="189"/>
      <c r="D17" s="189"/>
      <c r="F17" s="113" t="s">
        <v>327</v>
      </c>
      <c r="G17" s="121">
        <v>-0.38</v>
      </c>
      <c r="H17" s="121">
        <f>G17+13.8%</f>
        <v>-0.24199999999999999</v>
      </c>
      <c r="I17" s="121">
        <f t="shared" ref="I17:L17" si="2">H17+13.8%</f>
        <v>-0.10399999999999998</v>
      </c>
      <c r="J17" s="121">
        <f t="shared" si="2"/>
        <v>3.400000000000003E-2</v>
      </c>
      <c r="K17" s="121">
        <f>J17+13.8%</f>
        <v>0.17200000000000004</v>
      </c>
      <c r="L17" s="121">
        <f t="shared" si="2"/>
        <v>0.31000000000000005</v>
      </c>
    </row>
    <row r="18" spans="2:14" x14ac:dyDescent="0.3">
      <c r="B18" s="189"/>
      <c r="C18" s="189"/>
      <c r="D18" s="189"/>
    </row>
    <row r="19" spans="2:14" x14ac:dyDescent="0.3">
      <c r="B19" s="189"/>
      <c r="C19" s="189"/>
      <c r="D19" s="189"/>
      <c r="F19" s="189" t="e" vm="6">
        <v>#VALUE!</v>
      </c>
      <c r="G19" s="189"/>
      <c r="H19" s="189"/>
      <c r="I19" s="189"/>
      <c r="J19" s="189"/>
      <c r="K19" s="189"/>
      <c r="L19" s="189"/>
      <c r="M19" s="189"/>
      <c r="N19" s="189"/>
    </row>
    <row r="20" spans="2:14" x14ac:dyDescent="0.3">
      <c r="B20" s="189"/>
      <c r="C20" s="189"/>
      <c r="D20" s="189"/>
      <c r="F20" s="189"/>
      <c r="G20" s="189"/>
      <c r="H20" s="189"/>
      <c r="I20" s="189"/>
      <c r="J20" s="189"/>
      <c r="K20" s="189"/>
      <c r="L20" s="189"/>
      <c r="M20" s="189"/>
      <c r="N20" s="189"/>
    </row>
    <row r="21" spans="2:14" x14ac:dyDescent="0.3">
      <c r="B21" s="189"/>
      <c r="C21" s="189"/>
      <c r="D21" s="189"/>
      <c r="F21" s="189"/>
      <c r="G21" s="189"/>
      <c r="H21" s="189"/>
      <c r="I21" s="189"/>
      <c r="J21" s="189"/>
      <c r="K21" s="189"/>
      <c r="L21" s="189"/>
      <c r="M21" s="189"/>
      <c r="N21" s="189"/>
    </row>
    <row r="22" spans="2:14" x14ac:dyDescent="0.3">
      <c r="F22" s="189"/>
      <c r="G22" s="189"/>
      <c r="H22" s="189"/>
      <c r="I22" s="189"/>
      <c r="J22" s="189"/>
      <c r="K22" s="189"/>
      <c r="L22" s="189"/>
      <c r="M22" s="189"/>
      <c r="N22" s="189"/>
    </row>
    <row r="23" spans="2:14" x14ac:dyDescent="0.3">
      <c r="B23" s="129" t="s">
        <v>320</v>
      </c>
      <c r="C23" s="130" t="s">
        <v>20</v>
      </c>
      <c r="D23" s="130" t="s">
        <v>321</v>
      </c>
      <c r="F23" s="189"/>
      <c r="G23" s="189"/>
      <c r="H23" s="189"/>
      <c r="I23" s="189"/>
      <c r="J23" s="189"/>
      <c r="K23" s="189"/>
      <c r="L23" s="189"/>
      <c r="M23" s="189"/>
      <c r="N23" s="189"/>
    </row>
    <row r="24" spans="2:14" x14ac:dyDescent="0.3">
      <c r="B24" s="131" t="s">
        <v>322</v>
      </c>
      <c r="C24" s="126">
        <v>412</v>
      </c>
      <c r="D24" s="127">
        <v>0.22</v>
      </c>
      <c r="F24" s="189"/>
      <c r="G24" s="189"/>
      <c r="H24" s="189"/>
      <c r="I24" s="189"/>
      <c r="J24" s="189"/>
      <c r="K24" s="189"/>
      <c r="L24" s="189"/>
      <c r="M24" s="189"/>
      <c r="N24" s="189"/>
    </row>
    <row r="25" spans="2:14" x14ac:dyDescent="0.3">
      <c r="B25" s="131" t="s">
        <v>323</v>
      </c>
      <c r="C25" s="128">
        <v>180</v>
      </c>
      <c r="D25" s="127">
        <v>0.7</v>
      </c>
    </row>
    <row r="26" spans="2:14" ht="14.4" customHeight="1" thickBot="1" x14ac:dyDescent="0.35">
      <c r="B26" s="132" t="s">
        <v>324</v>
      </c>
      <c r="C26" s="133">
        <f>C24+C25</f>
        <v>592</v>
      </c>
      <c r="D26" s="134">
        <v>0.34</v>
      </c>
      <c r="F26" s="189" t="e" vm="7">
        <v>#VALUE!</v>
      </c>
      <c r="G26" s="189"/>
      <c r="H26" s="189"/>
      <c r="I26" s="189"/>
      <c r="J26" s="189"/>
      <c r="K26" s="189"/>
      <c r="L26" s="189"/>
      <c r="M26" s="189"/>
      <c r="N26" s="189"/>
    </row>
    <row r="27" spans="2:14" ht="14.4" customHeight="1" x14ac:dyDescent="0.3">
      <c r="F27" s="189"/>
      <c r="G27" s="189"/>
      <c r="H27" s="189"/>
      <c r="I27" s="189"/>
      <c r="J27" s="189"/>
      <c r="K27" s="189"/>
      <c r="L27" s="189"/>
      <c r="M27" s="189"/>
      <c r="N27" s="189"/>
    </row>
    <row r="28" spans="2:14" ht="14.4" customHeight="1" x14ac:dyDescent="0.3">
      <c r="B28" s="135" t="s">
        <v>328</v>
      </c>
      <c r="C28" s="135" t="s">
        <v>329</v>
      </c>
      <c r="D28" s="135" t="s">
        <v>330</v>
      </c>
      <c r="F28" s="189"/>
      <c r="G28" s="189"/>
      <c r="H28" s="189"/>
      <c r="I28" s="189"/>
      <c r="J28" s="189"/>
      <c r="K28" s="189"/>
      <c r="L28" s="189"/>
      <c r="M28" s="189"/>
      <c r="N28" s="189"/>
    </row>
    <row r="29" spans="2:14" ht="14.4" customHeight="1" x14ac:dyDescent="0.3">
      <c r="B29" s="131" t="s">
        <v>331</v>
      </c>
      <c r="C29" s="125" t="s">
        <v>332</v>
      </c>
      <c r="D29" s="125" t="s">
        <v>333</v>
      </c>
      <c r="F29" s="189"/>
      <c r="G29" s="189"/>
      <c r="H29" s="189"/>
      <c r="I29" s="189"/>
      <c r="J29" s="189"/>
      <c r="K29" s="189"/>
      <c r="L29" s="189"/>
      <c r="M29" s="189"/>
      <c r="N29" s="189"/>
    </row>
    <row r="30" spans="2:14" ht="14.4" customHeight="1" x14ac:dyDescent="0.3">
      <c r="B30" s="131" t="s">
        <v>334</v>
      </c>
      <c r="C30" s="125" t="s">
        <v>335</v>
      </c>
      <c r="D30" s="125" t="s">
        <v>336</v>
      </c>
    </row>
    <row r="31" spans="2:14" ht="14.4" customHeight="1" x14ac:dyDescent="0.3">
      <c r="B31" s="131" t="s">
        <v>337</v>
      </c>
      <c r="C31" s="125" t="s">
        <v>338</v>
      </c>
      <c r="D31" s="125" t="s">
        <v>339</v>
      </c>
      <c r="F31" s="189" t="e" vm="8">
        <v>#VALUE!</v>
      </c>
      <c r="G31" s="189"/>
      <c r="H31" s="189"/>
      <c r="I31" s="189"/>
      <c r="J31" s="189"/>
      <c r="K31" s="189"/>
      <c r="L31" s="189"/>
      <c r="M31" s="189"/>
      <c r="N31" s="189"/>
    </row>
    <row r="32" spans="2:14" ht="14.4" customHeight="1" x14ac:dyDescent="0.3">
      <c r="B32" s="131" t="s">
        <v>340</v>
      </c>
      <c r="C32" s="125" t="s">
        <v>341</v>
      </c>
      <c r="D32" s="125" t="s">
        <v>342</v>
      </c>
      <c r="F32" s="189"/>
      <c r="G32" s="189"/>
      <c r="H32" s="189"/>
      <c r="I32" s="189"/>
      <c r="J32" s="189"/>
      <c r="K32" s="189"/>
      <c r="L32" s="189"/>
      <c r="M32" s="189"/>
      <c r="N32" s="189"/>
    </row>
    <row r="33" spans="2:14" ht="14.4" customHeight="1" x14ac:dyDescent="0.3">
      <c r="B33" s="131" t="s">
        <v>343</v>
      </c>
      <c r="C33" s="125" t="s">
        <v>344</v>
      </c>
      <c r="D33" s="125" t="s">
        <v>345</v>
      </c>
      <c r="F33" s="189"/>
      <c r="G33" s="189"/>
      <c r="H33" s="189"/>
      <c r="I33" s="189"/>
      <c r="J33" s="189"/>
      <c r="K33" s="189"/>
      <c r="L33" s="189"/>
      <c r="M33" s="189"/>
      <c r="N33" s="189"/>
    </row>
    <row r="34" spans="2:14" ht="14.4" customHeight="1" x14ac:dyDescent="0.3">
      <c r="B34" s="131" t="s">
        <v>346</v>
      </c>
      <c r="C34" s="125" t="s">
        <v>347</v>
      </c>
      <c r="D34" s="125" t="s">
        <v>348</v>
      </c>
      <c r="F34" s="189"/>
      <c r="G34" s="189"/>
      <c r="H34" s="189"/>
      <c r="I34" s="189"/>
      <c r="J34" s="189"/>
      <c r="K34" s="189"/>
      <c r="L34" s="189"/>
      <c r="M34" s="189"/>
      <c r="N34" s="189"/>
    </row>
    <row r="35" spans="2:14" ht="14.4" customHeight="1" x14ac:dyDescent="0.3">
      <c r="B35" s="131" t="s">
        <v>354</v>
      </c>
      <c r="C35" s="125" t="s">
        <v>349</v>
      </c>
      <c r="D35" s="125" t="s">
        <v>350</v>
      </c>
    </row>
    <row r="36" spans="2:14" ht="14.4" customHeight="1" x14ac:dyDescent="0.3">
      <c r="B36" s="131" t="s">
        <v>351</v>
      </c>
      <c r="C36" s="125" t="s">
        <v>352</v>
      </c>
      <c r="D36" s="125" t="s">
        <v>353</v>
      </c>
      <c r="F36" s="189" t="e" vm="9">
        <v>#VALUE!</v>
      </c>
      <c r="G36" s="189"/>
      <c r="H36" s="189"/>
      <c r="I36" s="189"/>
      <c r="J36" s="189"/>
      <c r="K36" s="189"/>
      <c r="L36" s="189"/>
      <c r="M36" s="189"/>
      <c r="N36" s="189"/>
    </row>
    <row r="37" spans="2:14" ht="14.4" customHeight="1" x14ac:dyDescent="0.3">
      <c r="B37" s="176"/>
      <c r="C37" s="177"/>
      <c r="D37" s="177"/>
      <c r="F37" s="189"/>
      <c r="G37" s="189"/>
      <c r="H37" s="189"/>
      <c r="I37" s="189"/>
      <c r="J37" s="189"/>
      <c r="K37" s="189"/>
      <c r="L37" s="189"/>
      <c r="M37" s="189"/>
      <c r="N37" s="189"/>
    </row>
    <row r="38" spans="2:14" ht="14.4" customHeight="1" x14ac:dyDescent="0.3">
      <c r="B38" s="20" t="s">
        <v>383</v>
      </c>
      <c r="C38" s="177"/>
      <c r="D38" s="177"/>
      <c r="F38" s="189"/>
      <c r="G38" s="189"/>
      <c r="H38" s="189"/>
      <c r="I38" s="189"/>
      <c r="J38" s="189"/>
      <c r="K38" s="189"/>
      <c r="L38" s="189"/>
      <c r="M38" s="189"/>
      <c r="N38" s="189"/>
    </row>
    <row r="39" spans="2:14" ht="14.4" customHeight="1" x14ac:dyDescent="0.3">
      <c r="B39" s="183" t="s">
        <v>384</v>
      </c>
      <c r="C39" s="183" t="s">
        <v>385</v>
      </c>
      <c r="D39" s="184" t="s">
        <v>386</v>
      </c>
      <c r="F39" s="189"/>
      <c r="G39" s="189"/>
      <c r="H39" s="189"/>
      <c r="I39" s="189"/>
      <c r="J39" s="189"/>
      <c r="K39" s="189"/>
      <c r="L39" s="189"/>
      <c r="M39" s="189"/>
      <c r="N39" s="189"/>
    </row>
    <row r="40" spans="2:14" ht="14.4" customHeight="1" x14ac:dyDescent="0.3">
      <c r="B40" s="179" t="s">
        <v>387</v>
      </c>
      <c r="C40" s="178" t="s">
        <v>388</v>
      </c>
      <c r="D40" s="180">
        <v>0.69499999999999995</v>
      </c>
      <c r="F40" s="189"/>
      <c r="G40" s="189"/>
      <c r="H40" s="189"/>
      <c r="I40" s="189"/>
      <c r="J40" s="189"/>
      <c r="K40" s="189"/>
      <c r="L40" s="189"/>
      <c r="M40" s="189"/>
      <c r="N40" s="189"/>
    </row>
    <row r="41" spans="2:14" ht="28.8" customHeight="1" x14ac:dyDescent="0.3">
      <c r="B41" s="179" t="s">
        <v>389</v>
      </c>
      <c r="C41" s="181" t="s">
        <v>390</v>
      </c>
      <c r="D41" s="182">
        <v>0.30499999999999999</v>
      </c>
      <c r="F41" s="189"/>
      <c r="G41" s="189"/>
      <c r="H41" s="189"/>
      <c r="I41" s="189"/>
      <c r="J41" s="189"/>
      <c r="K41" s="189"/>
      <c r="L41" s="189"/>
      <c r="M41" s="189"/>
      <c r="N41" s="189"/>
    </row>
    <row r="42" spans="2:14" ht="14.4" customHeight="1" x14ac:dyDescent="0.3">
      <c r="B42" s="176"/>
      <c r="C42" s="177"/>
      <c r="D42" s="177"/>
    </row>
    <row r="43" spans="2:14" ht="14.4" customHeight="1" x14ac:dyDescent="0.3">
      <c r="B43" s="176"/>
      <c r="C43" s="177"/>
      <c r="D43" s="177"/>
    </row>
    <row r="44" spans="2:14" ht="14.4" customHeight="1" x14ac:dyDescent="0.3">
      <c r="B44" s="176"/>
      <c r="C44" s="177"/>
      <c r="D44" s="177"/>
    </row>
    <row r="45" spans="2:14" ht="14.4" customHeight="1" x14ac:dyDescent="0.3">
      <c r="B45" s="176"/>
      <c r="C45" s="177"/>
      <c r="D45" s="177"/>
    </row>
    <row r="46" spans="2:14" ht="14.4" customHeight="1" x14ac:dyDescent="0.3"/>
    <row r="47" spans="2:14" ht="14.4" customHeight="1" x14ac:dyDescent="0.3"/>
    <row r="48" spans="2:14" ht="14.4" customHeight="1" x14ac:dyDescent="0.3"/>
    <row r="49" spans="2:3" ht="14.4" customHeight="1" x14ac:dyDescent="0.3"/>
    <row r="50" spans="2:3" ht="14.4" customHeight="1" x14ac:dyDescent="0.3"/>
    <row r="51" spans="2:3" ht="14.4" customHeight="1" x14ac:dyDescent="0.3"/>
    <row r="52" spans="2:3" ht="14.4" customHeight="1" x14ac:dyDescent="0.3"/>
    <row r="53" spans="2:3" ht="14.4" customHeight="1" x14ac:dyDescent="0.3"/>
    <row r="54" spans="2:3" ht="14.4" customHeight="1" x14ac:dyDescent="0.3">
      <c r="B54" s="20" t="s">
        <v>398</v>
      </c>
    </row>
    <row r="55" spans="2:3" ht="14.4" customHeight="1" x14ac:dyDescent="0.3">
      <c r="B55" s="20" t="s">
        <v>392</v>
      </c>
      <c r="C55" s="20" t="s">
        <v>393</v>
      </c>
    </row>
    <row r="56" spans="2:3" ht="14.4" customHeight="1" x14ac:dyDescent="0.3">
      <c r="B56" s="175">
        <v>2011</v>
      </c>
      <c r="C56" t="s">
        <v>394</v>
      </c>
    </row>
    <row r="57" spans="2:3" ht="14.4" customHeight="1" x14ac:dyDescent="0.3">
      <c r="B57" s="175">
        <v>2012</v>
      </c>
      <c r="C57" t="s">
        <v>395</v>
      </c>
    </row>
    <row r="58" spans="2:3" ht="14.4" customHeight="1" x14ac:dyDescent="0.3">
      <c r="B58" s="175">
        <v>2017</v>
      </c>
      <c r="C58" t="s">
        <v>396</v>
      </c>
    </row>
    <row r="59" spans="2:3" ht="14.4" customHeight="1" x14ac:dyDescent="0.3">
      <c r="B59" s="175" t="s">
        <v>391</v>
      </c>
      <c r="C59" t="s">
        <v>397</v>
      </c>
    </row>
    <row r="60" spans="2:3" ht="14.4" customHeight="1" x14ac:dyDescent="0.3"/>
    <row r="61" spans="2:3" ht="14.4" customHeight="1" x14ac:dyDescent="0.3">
      <c r="B61" s="184" t="s">
        <v>399</v>
      </c>
      <c r="C61" s="175"/>
    </row>
    <row r="62" spans="2:3" ht="14.4" customHeight="1" x14ac:dyDescent="0.3">
      <c r="B62" s="184" t="s">
        <v>400</v>
      </c>
      <c r="C62" s="184" t="s">
        <v>401</v>
      </c>
    </row>
    <row r="63" spans="2:3" ht="14.4" customHeight="1" x14ac:dyDescent="0.3">
      <c r="B63" s="186">
        <v>2021</v>
      </c>
      <c r="C63" s="175">
        <v>67</v>
      </c>
    </row>
    <row r="64" spans="2:3" ht="14.4" customHeight="1" x14ac:dyDescent="0.3">
      <c r="B64" s="186">
        <f>B63+1</f>
        <v>2022</v>
      </c>
      <c r="C64" s="175">
        <v>84</v>
      </c>
    </row>
    <row r="65" spans="2:3" ht="14.4" customHeight="1" x14ac:dyDescent="0.3">
      <c r="B65" s="186">
        <f t="shared" ref="B65:B68" si="3">B64+1</f>
        <v>2023</v>
      </c>
      <c r="C65" s="175">
        <v>102</v>
      </c>
    </row>
    <row r="66" spans="2:3" x14ac:dyDescent="0.3">
      <c r="B66" s="186">
        <f t="shared" si="3"/>
        <v>2024</v>
      </c>
      <c r="C66" s="175">
        <v>125</v>
      </c>
    </row>
    <row r="67" spans="2:3" x14ac:dyDescent="0.3">
      <c r="B67" s="187">
        <f t="shared" si="3"/>
        <v>2025</v>
      </c>
      <c r="C67" s="175">
        <v>145</v>
      </c>
    </row>
    <row r="68" spans="2:3" x14ac:dyDescent="0.3">
      <c r="B68" s="187">
        <f t="shared" si="3"/>
        <v>2026</v>
      </c>
      <c r="C68" s="175">
        <v>163</v>
      </c>
    </row>
    <row r="69" spans="2:3" x14ac:dyDescent="0.3">
      <c r="B69" s="187">
        <v>2030</v>
      </c>
      <c r="C69" s="175">
        <v>345</v>
      </c>
    </row>
    <row r="70" spans="2:3" x14ac:dyDescent="0.3">
      <c r="B70" s="187">
        <v>2035</v>
      </c>
      <c r="C70" s="175">
        <v>550</v>
      </c>
    </row>
    <row r="71" spans="2:3" x14ac:dyDescent="0.3">
      <c r="B71" s="185"/>
    </row>
    <row r="72" spans="2:3" x14ac:dyDescent="0.3">
      <c r="B72" s="185"/>
    </row>
  </sheetData>
  <mergeCells count="8">
    <mergeCell ref="B4:D9"/>
    <mergeCell ref="F26:N29"/>
    <mergeCell ref="F31:N34"/>
    <mergeCell ref="F36:N41"/>
    <mergeCell ref="B10:D15"/>
    <mergeCell ref="B17:D21"/>
    <mergeCell ref="F4:N12"/>
    <mergeCell ref="F19:N2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Control Sheet</vt:lpstr>
      <vt:lpstr>Schedule Sheet</vt:lpstr>
      <vt:lpstr>3 Statement Model</vt:lpstr>
      <vt:lpstr>Ratio Analysis</vt:lpstr>
      <vt:lpstr>Balance Sheet</vt:lpstr>
      <vt:lpstr>Income Statement</vt:lpstr>
      <vt:lpstr>Cash Flow Statement</vt:lpstr>
      <vt:lpstr>Assumption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acharya</dc:creator>
  <cp:lastModifiedBy>sneha acharya</cp:lastModifiedBy>
  <cp:lastPrinted>2026-09-29T07:04:06Z</cp:lastPrinted>
  <dcterms:created xsi:type="dcterms:W3CDTF">2026-09-29T04:50:58Z</dcterms:created>
  <dcterms:modified xsi:type="dcterms:W3CDTF">2026-10-02T13:18:00Z</dcterms:modified>
</cp:coreProperties>
</file>